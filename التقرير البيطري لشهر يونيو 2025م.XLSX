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اعمال المكتب\التقارير 2025م\التقارير البيطرية 2025م\"/>
    </mc:Choice>
  </mc:AlternateContent>
  <xr:revisionPtr revIDLastSave="0" documentId="8_{54C2F94C-C48C-41F9-8202-BDC2DB5A2E73}" xr6:coauthVersionLast="47" xr6:coauthVersionMax="47" xr10:uidLastSave="{00000000-0000-0000-0000-000000000000}"/>
  <bookViews>
    <workbookView xWindow="-120" yWindow="-120" windowWidth="24240" windowHeight="13140" tabRatio="836" activeTab="5" xr2:uid="{00000000-000D-0000-FFFF-FFFF00000000}"/>
  </bookViews>
  <sheets>
    <sheet name="يناير" sheetId="1" r:id="rId1"/>
    <sheet name="فبراير" sheetId="26" r:id="rId2"/>
    <sheet name="مارس" sheetId="27" r:id="rId3"/>
    <sheet name="ابريل" sheetId="28" r:id="rId4"/>
    <sheet name="مايو" sheetId="29" r:id="rId5"/>
    <sheet name="يونيو" sheetId="30" r:id="rId6"/>
    <sheet name="يوليو" sheetId="31" r:id="rId7"/>
    <sheet name="اغسطس" sheetId="32" r:id="rId8"/>
    <sheet name="سبتمبر" sheetId="33" r:id="rId9"/>
    <sheet name="اكتوبر " sheetId="34" r:id="rId10"/>
    <sheet name="نوفمبر" sheetId="35" r:id="rId11"/>
    <sheet name="ديسمبر" sheetId="36" r:id="rId12"/>
    <sheet name="التقرير السنوي" sheetId="37" r:id="rId13"/>
  </sheets>
  <definedNames>
    <definedName name="_xlnm.Print_Area" localSheetId="3">ابريل!$A$12:$J$472</definedName>
    <definedName name="_xlnm.Print_Area" localSheetId="7">اغسطس!$A$12:$J$472</definedName>
    <definedName name="_xlnm.Print_Area" localSheetId="9">'اكتوبر '!$A$12:$J$472</definedName>
    <definedName name="_xlnm.Print_Area" localSheetId="12">'التقرير السنوي'!$A$12:$L$472</definedName>
    <definedName name="_xlnm.Print_Area" localSheetId="11">ديسمبر!$A$12:$J$472</definedName>
    <definedName name="_xlnm.Print_Area" localSheetId="8">سبتمبر!$A$12:$J$472</definedName>
    <definedName name="_xlnm.Print_Area" localSheetId="1">فبراير!$A$12:$J$472</definedName>
    <definedName name="_xlnm.Print_Area" localSheetId="2">مارس!$A$12:$J$472</definedName>
    <definedName name="_xlnm.Print_Area" localSheetId="4">مايو!$A$12:$J$472</definedName>
    <definedName name="_xlnm.Print_Area" localSheetId="10">نوفمبر!$A$12:$J$472</definedName>
    <definedName name="_xlnm.Print_Area" localSheetId="0">يناير!$A$12:$J$472</definedName>
    <definedName name="_xlnm.Print_Area" localSheetId="6">يوليو!$A$12:$J$472</definedName>
    <definedName name="_xlnm.Print_Area" localSheetId="5">يونيو!$A$12:$J$472</definedName>
  </definedNames>
  <calcPr calcId="191029"/>
</workbook>
</file>

<file path=xl/calcChain.xml><?xml version="1.0" encoding="utf-8"?>
<calcChain xmlns="http://schemas.openxmlformats.org/spreadsheetml/2006/main">
  <c r="E24" i="37" l="1"/>
  <c r="E22" i="37"/>
  <c r="E20" i="37"/>
  <c r="C418" i="37"/>
  <c r="C419" i="37"/>
  <c r="C420" i="37"/>
  <c r="C421" i="37"/>
  <c r="C422" i="37"/>
  <c r="C423" i="37"/>
  <c r="C424" i="37"/>
  <c r="C417" i="37"/>
  <c r="C389" i="37"/>
  <c r="C390" i="37"/>
  <c r="C391" i="37"/>
  <c r="C392" i="37"/>
  <c r="C393" i="37"/>
  <c r="C394" i="37"/>
  <c r="C395" i="37"/>
  <c r="C396" i="37"/>
  <c r="C397" i="37"/>
  <c r="C398" i="37"/>
  <c r="C399" i="37"/>
  <c r="C388" i="37"/>
  <c r="C339" i="37"/>
  <c r="C340" i="37"/>
  <c r="C341" i="37"/>
  <c r="C342" i="37"/>
  <c r="C343" i="37"/>
  <c r="C344" i="37"/>
  <c r="C345" i="37"/>
  <c r="C346" i="37"/>
  <c r="C347" i="37"/>
  <c r="C348" i="37"/>
  <c r="C349" i="37"/>
  <c r="C350" i="37"/>
  <c r="C351" i="37"/>
  <c r="C352" i="37"/>
  <c r="C353" i="37"/>
  <c r="C354" i="37"/>
  <c r="C355" i="37"/>
  <c r="C356" i="37"/>
  <c r="C357" i="37"/>
  <c r="C358" i="37"/>
  <c r="C359" i="37"/>
  <c r="C360" i="37"/>
  <c r="C361" i="37"/>
  <c r="C362" i="37"/>
  <c r="C363" i="37"/>
  <c r="C364" i="37"/>
  <c r="C365" i="37"/>
  <c r="C338" i="37"/>
  <c r="C274" i="37"/>
  <c r="C275" i="37"/>
  <c r="C276" i="37"/>
  <c r="C277" i="37"/>
  <c r="C278" i="37"/>
  <c r="C279" i="37"/>
  <c r="C280" i="37"/>
  <c r="C281" i="37"/>
  <c r="C282" i="37"/>
  <c r="C283" i="37"/>
  <c r="C284" i="37"/>
  <c r="C285" i="37"/>
  <c r="C286" i="37"/>
  <c r="C287" i="37"/>
  <c r="C288" i="37"/>
  <c r="C289" i="37"/>
  <c r="C290" i="37"/>
  <c r="C291" i="37"/>
  <c r="C292" i="37"/>
  <c r="C293" i="37"/>
  <c r="C294" i="37"/>
  <c r="C295" i="37"/>
  <c r="C296" i="37"/>
  <c r="C297" i="37"/>
  <c r="C298" i="37"/>
  <c r="C299" i="37"/>
  <c r="C300" i="37"/>
  <c r="C273" i="37"/>
  <c r="C228" i="37"/>
  <c r="C229" i="37"/>
  <c r="C230" i="37"/>
  <c r="C231" i="37"/>
  <c r="C232" i="37"/>
  <c r="C233" i="37"/>
  <c r="C234" i="37"/>
  <c r="C227" i="37"/>
  <c r="C198" i="37"/>
  <c r="C199" i="37"/>
  <c r="C200" i="37"/>
  <c r="C201" i="37"/>
  <c r="C202" i="37"/>
  <c r="C203" i="37"/>
  <c r="C204" i="37"/>
  <c r="C205" i="37"/>
  <c r="C206" i="37"/>
  <c r="C207" i="37"/>
  <c r="C208" i="37"/>
  <c r="C209" i="37"/>
  <c r="C197" i="37"/>
  <c r="C172" i="37"/>
  <c r="C173" i="37"/>
  <c r="C174" i="37"/>
  <c r="C175" i="37"/>
  <c r="C171" i="37"/>
  <c r="C149" i="37"/>
  <c r="C150" i="37"/>
  <c r="C151" i="37"/>
  <c r="C152" i="37"/>
  <c r="C153" i="37"/>
  <c r="C154" i="37"/>
  <c r="C155" i="37"/>
  <c r="C156" i="37"/>
  <c r="C148" i="37"/>
  <c r="C120" i="37"/>
  <c r="C121" i="37"/>
  <c r="C122" i="37"/>
  <c r="C123" i="37"/>
  <c r="C124" i="37"/>
  <c r="C125" i="37"/>
  <c r="C126" i="37"/>
  <c r="C127" i="37"/>
  <c r="C128" i="37"/>
  <c r="C129" i="37"/>
  <c r="C130" i="37"/>
  <c r="C119" i="37"/>
  <c r="C89" i="37"/>
  <c r="C90" i="37"/>
  <c r="C91" i="37"/>
  <c r="C92" i="37"/>
  <c r="C93" i="37"/>
  <c r="C94" i="37"/>
  <c r="C95" i="37"/>
  <c r="C96" i="37"/>
  <c r="C97" i="37"/>
  <c r="C98" i="37"/>
  <c r="C88" i="37"/>
  <c r="C58" i="37"/>
  <c r="C59" i="37"/>
  <c r="C60" i="37"/>
  <c r="C61" i="37"/>
  <c r="C62" i="37"/>
  <c r="C63" i="37"/>
  <c r="C64" i="37"/>
  <c r="C65" i="37"/>
  <c r="C66" i="37"/>
  <c r="C67" i="37"/>
  <c r="C68" i="37"/>
  <c r="C57" i="37"/>
  <c r="C31" i="37"/>
  <c r="C32" i="37"/>
  <c r="C33" i="37"/>
  <c r="C34" i="37"/>
  <c r="C35" i="37"/>
  <c r="C36" i="37"/>
  <c r="C30" i="37"/>
  <c r="F139" i="32" l="1"/>
  <c r="F137" i="32"/>
  <c r="F309" i="32"/>
  <c r="E331" i="37" l="1"/>
  <c r="E307" i="37"/>
  <c r="E308" i="37"/>
  <c r="E309" i="37"/>
  <c r="E310" i="37"/>
  <c r="E311" i="37"/>
  <c r="E312" i="37"/>
  <c r="E313" i="37"/>
  <c r="E314" i="37"/>
  <c r="E315" i="37"/>
  <c r="E316" i="37"/>
  <c r="E317" i="37"/>
  <c r="E318" i="37"/>
  <c r="E319" i="37"/>
  <c r="E320" i="37"/>
  <c r="E321" i="37"/>
  <c r="E322" i="37"/>
  <c r="E323" i="37"/>
  <c r="E324" i="37"/>
  <c r="E325" i="37"/>
  <c r="E326" i="37"/>
  <c r="E327" i="37"/>
  <c r="E328" i="37"/>
  <c r="E329" i="37"/>
  <c r="E330" i="37"/>
  <c r="E244" i="37"/>
  <c r="E245" i="37"/>
  <c r="E246" i="37"/>
  <c r="E247" i="37"/>
  <c r="E248" i="37"/>
  <c r="E249" i="37"/>
  <c r="E250" i="37"/>
  <c r="E251" i="37"/>
  <c r="E252" i="37"/>
  <c r="E253" i="37"/>
  <c r="E254" i="37"/>
  <c r="E255" i="37"/>
  <c r="E256" i="37"/>
  <c r="E257" i="37"/>
  <c r="E258" i="37"/>
  <c r="E259" i="37"/>
  <c r="E260" i="37"/>
  <c r="E261" i="37"/>
  <c r="E262" i="37"/>
  <c r="E263" i="37"/>
  <c r="E264" i="37"/>
  <c r="E265" i="37"/>
  <c r="E266" i="37"/>
  <c r="E267" i="37"/>
  <c r="E268" i="37"/>
  <c r="E269" i="37"/>
  <c r="E243" i="37"/>
  <c r="E242" i="37"/>
  <c r="E223" i="37"/>
  <c r="E222" i="37"/>
  <c r="E221" i="37"/>
  <c r="E220" i="37"/>
  <c r="E219" i="37"/>
  <c r="E218" i="37"/>
  <c r="E217" i="37"/>
  <c r="E215" i="37"/>
  <c r="E185" i="37"/>
  <c r="E42" i="37"/>
  <c r="D14" i="37" l="1"/>
  <c r="D14" i="27"/>
  <c r="D14" i="28"/>
  <c r="D14" i="29"/>
  <c r="D14" i="30"/>
  <c r="D14" i="31"/>
  <c r="D14" i="32"/>
  <c r="D14" i="33"/>
  <c r="D14" i="34"/>
  <c r="D14" i="35"/>
  <c r="D14" i="36"/>
  <c r="D14" i="26"/>
  <c r="E407" i="37"/>
  <c r="E332" i="26" l="1"/>
  <c r="E332" i="27"/>
  <c r="E332" i="28"/>
  <c r="E332" i="29"/>
  <c r="E332" i="30"/>
  <c r="E332" i="31"/>
  <c r="E332" i="32"/>
  <c r="E332" i="33"/>
  <c r="E332" i="34"/>
  <c r="E332" i="35"/>
  <c r="E332" i="36"/>
  <c r="E332" i="1"/>
  <c r="E414" i="29" l="1"/>
  <c r="E382" i="29"/>
  <c r="E270" i="29"/>
  <c r="E224" i="29"/>
  <c r="E191" i="29"/>
  <c r="E168" i="29"/>
  <c r="E145" i="29"/>
  <c r="E116" i="29"/>
  <c r="E85" i="29"/>
  <c r="E54" i="26"/>
  <c r="E54" i="27"/>
  <c r="E54" i="28"/>
  <c r="E54" i="29"/>
  <c r="E54" i="30"/>
  <c r="E54" i="31"/>
  <c r="E54" i="32"/>
  <c r="E54" i="33"/>
  <c r="E54" i="34"/>
  <c r="E54" i="35"/>
  <c r="E54" i="36"/>
  <c r="E54" i="1"/>
  <c r="E75" i="37" l="1"/>
  <c r="E76" i="37"/>
  <c r="E77" i="37"/>
  <c r="E78" i="37"/>
  <c r="E79" i="37"/>
  <c r="E80" i="37"/>
  <c r="E81" i="37"/>
  <c r="E82" i="37"/>
  <c r="E83" i="37"/>
  <c r="E408" i="37" l="1"/>
  <c r="F408" i="37" s="1"/>
  <c r="E409" i="37"/>
  <c r="F409" i="37" s="1"/>
  <c r="E410" i="37"/>
  <c r="F410" i="37" s="1"/>
  <c r="E411" i="37"/>
  <c r="F411" i="37" s="1"/>
  <c r="E412" i="37"/>
  <c r="F412" i="37" s="1"/>
  <c r="E413" i="37"/>
  <c r="F413" i="37" s="1"/>
  <c r="F407" i="37"/>
  <c r="E405" i="37"/>
  <c r="E385" i="37"/>
  <c r="E384" i="37"/>
  <c r="E372" i="37"/>
  <c r="F372" i="37" s="1"/>
  <c r="E373" i="37"/>
  <c r="F373" i="37" s="1"/>
  <c r="E374" i="37"/>
  <c r="F374" i="37" s="1"/>
  <c r="E375" i="37"/>
  <c r="F375" i="37" s="1"/>
  <c r="E376" i="37"/>
  <c r="F376" i="37" s="1"/>
  <c r="E377" i="37"/>
  <c r="F377" i="37" s="1"/>
  <c r="E378" i="37"/>
  <c r="F378" i="37" s="1"/>
  <c r="E379" i="37"/>
  <c r="F379" i="37" s="1"/>
  <c r="E380" i="37"/>
  <c r="F380" i="37" s="1"/>
  <c r="E381" i="37"/>
  <c r="F381" i="37" s="1"/>
  <c r="E371" i="37"/>
  <c r="E335" i="37"/>
  <c r="E334" i="37"/>
  <c r="F307" i="37"/>
  <c r="F308" i="37"/>
  <c r="F309" i="37"/>
  <c r="F310" i="37"/>
  <c r="F311" i="37"/>
  <c r="F312" i="37"/>
  <c r="F313" i="37"/>
  <c r="F314" i="37"/>
  <c r="F315" i="37"/>
  <c r="F316" i="37"/>
  <c r="F317" i="37"/>
  <c r="F318" i="37"/>
  <c r="F319" i="37"/>
  <c r="F320" i="37"/>
  <c r="F321" i="37"/>
  <c r="F322" i="37"/>
  <c r="F323" i="37"/>
  <c r="F324" i="37"/>
  <c r="F325" i="37"/>
  <c r="F326" i="37"/>
  <c r="F327" i="37"/>
  <c r="F328" i="37"/>
  <c r="F329" i="37"/>
  <c r="F330" i="37"/>
  <c r="F331" i="37"/>
  <c r="E306" i="37"/>
  <c r="E194" i="37"/>
  <c r="E193" i="37"/>
  <c r="E182" i="37"/>
  <c r="F182" i="37" s="1"/>
  <c r="E183" i="37"/>
  <c r="F183" i="37" s="1"/>
  <c r="E184" i="37"/>
  <c r="F184" i="37" s="1"/>
  <c r="F185" i="37"/>
  <c r="E186" i="37"/>
  <c r="F186" i="37" s="1"/>
  <c r="E187" i="37"/>
  <c r="F187" i="37" s="1"/>
  <c r="E188" i="37"/>
  <c r="F188" i="37" s="1"/>
  <c r="E189" i="37"/>
  <c r="F189" i="37" s="1"/>
  <c r="E190" i="37"/>
  <c r="F190" i="37" s="1"/>
  <c r="E181" i="37"/>
  <c r="F181" i="37" s="1"/>
  <c r="E166" i="37"/>
  <c r="F166" i="37" s="1"/>
  <c r="E167" i="37"/>
  <c r="F167" i="37" s="1"/>
  <c r="E165" i="37"/>
  <c r="E137" i="37"/>
  <c r="F137" i="37" s="1"/>
  <c r="E138" i="37"/>
  <c r="F138" i="37" s="1"/>
  <c r="E139" i="37"/>
  <c r="F139" i="37" s="1"/>
  <c r="E140" i="37"/>
  <c r="F140" i="37" s="1"/>
  <c r="E141" i="37"/>
  <c r="F141" i="37" s="1"/>
  <c r="E142" i="37"/>
  <c r="F142" i="37" s="1"/>
  <c r="E143" i="37"/>
  <c r="F143" i="37" s="1"/>
  <c r="E144" i="37"/>
  <c r="F144" i="37" s="1"/>
  <c r="E136" i="37"/>
  <c r="F136" i="37" s="1"/>
  <c r="E163" i="37"/>
  <c r="E162" i="37"/>
  <c r="E105" i="37"/>
  <c r="F105" i="37" s="1"/>
  <c r="E106" i="37"/>
  <c r="F106" i="37" s="1"/>
  <c r="E107" i="37"/>
  <c r="F107" i="37" s="1"/>
  <c r="E108" i="37"/>
  <c r="F108" i="37" s="1"/>
  <c r="E109" i="37"/>
  <c r="F109" i="37" s="1"/>
  <c r="E110" i="37"/>
  <c r="F110" i="37" s="1"/>
  <c r="E111" i="37"/>
  <c r="F111" i="37" s="1"/>
  <c r="E112" i="37"/>
  <c r="F112" i="37" s="1"/>
  <c r="E113" i="37"/>
  <c r="F113" i="37" s="1"/>
  <c r="E114" i="37"/>
  <c r="F114" i="37" s="1"/>
  <c r="E115" i="37"/>
  <c r="F115" i="37" s="1"/>
  <c r="E104" i="37"/>
  <c r="E74" i="37"/>
  <c r="E43" i="37"/>
  <c r="E44" i="37"/>
  <c r="E45" i="37"/>
  <c r="E46" i="37"/>
  <c r="E47" i="37"/>
  <c r="E48" i="37"/>
  <c r="E49" i="37"/>
  <c r="E50" i="37"/>
  <c r="E51" i="37"/>
  <c r="E52" i="37"/>
  <c r="E53" i="37"/>
  <c r="E21" i="37"/>
  <c r="E23" i="37"/>
  <c r="E25" i="37"/>
  <c r="E26" i="37"/>
  <c r="E224" i="37"/>
  <c r="F223" i="37"/>
  <c r="F222" i="37"/>
  <c r="F221" i="37"/>
  <c r="F220" i="37"/>
  <c r="F219" i="37"/>
  <c r="F218" i="37"/>
  <c r="F217" i="37"/>
  <c r="E414" i="36"/>
  <c r="F413" i="36"/>
  <c r="F412" i="36"/>
  <c r="F411" i="36"/>
  <c r="F410" i="36"/>
  <c r="F409" i="36"/>
  <c r="F408" i="36"/>
  <c r="F407" i="36"/>
  <c r="E382" i="36"/>
  <c r="F381" i="36"/>
  <c r="F380" i="36"/>
  <c r="F379" i="36"/>
  <c r="F378" i="36"/>
  <c r="F377" i="36"/>
  <c r="F376" i="36"/>
  <c r="F375" i="36"/>
  <c r="F374" i="36"/>
  <c r="F373" i="36"/>
  <c r="F372" i="36"/>
  <c r="F371" i="36"/>
  <c r="F331" i="36"/>
  <c r="F330" i="36"/>
  <c r="F329" i="36"/>
  <c r="F328" i="36"/>
  <c r="F327" i="36"/>
  <c r="F326" i="36"/>
  <c r="F325" i="36"/>
  <c r="F324" i="36"/>
  <c r="F323" i="36"/>
  <c r="F322" i="36"/>
  <c r="F321" i="36"/>
  <c r="F320" i="36"/>
  <c r="F319" i="36"/>
  <c r="F318" i="36"/>
  <c r="F317" i="36"/>
  <c r="F316" i="36"/>
  <c r="F315" i="36"/>
  <c r="F314" i="36"/>
  <c r="F313" i="36"/>
  <c r="F312" i="36"/>
  <c r="F311" i="36"/>
  <c r="F310" i="36"/>
  <c r="F309" i="36"/>
  <c r="F308" i="36"/>
  <c r="F307" i="36"/>
  <c r="F306" i="36"/>
  <c r="E270" i="36"/>
  <c r="E224" i="36"/>
  <c r="F223" i="36"/>
  <c r="F222" i="36"/>
  <c r="F221" i="36"/>
  <c r="F220" i="36"/>
  <c r="F219" i="36"/>
  <c r="F218" i="36"/>
  <c r="F217" i="36"/>
  <c r="E191" i="36"/>
  <c r="F190" i="36"/>
  <c r="F189" i="36"/>
  <c r="F188" i="36"/>
  <c r="F187" i="36"/>
  <c r="F186" i="36"/>
  <c r="F185" i="36"/>
  <c r="F184" i="36"/>
  <c r="F183" i="36"/>
  <c r="F182" i="36"/>
  <c r="F181" i="36"/>
  <c r="E168" i="36"/>
  <c r="F167" i="36"/>
  <c r="F166" i="36"/>
  <c r="F165" i="36"/>
  <c r="E145" i="36"/>
  <c r="F144" i="36"/>
  <c r="F143" i="36"/>
  <c r="F142" i="36"/>
  <c r="F141" i="36"/>
  <c r="F140" i="36"/>
  <c r="F139" i="36"/>
  <c r="F138" i="36"/>
  <c r="F137" i="36"/>
  <c r="F136" i="36"/>
  <c r="E116" i="36"/>
  <c r="F115" i="36"/>
  <c r="F114" i="36"/>
  <c r="F113" i="36"/>
  <c r="F112" i="36"/>
  <c r="F111" i="36"/>
  <c r="F110" i="36"/>
  <c r="F109" i="36"/>
  <c r="F108" i="36"/>
  <c r="F107" i="36"/>
  <c r="F106" i="36"/>
  <c r="F105" i="36"/>
  <c r="F104" i="36"/>
  <c r="E85" i="36"/>
  <c r="E27" i="36"/>
  <c r="E414" i="35"/>
  <c r="F413" i="35"/>
  <c r="F412" i="35"/>
  <c r="F411" i="35"/>
  <c r="F410" i="35"/>
  <c r="F409" i="35"/>
  <c r="F408" i="35"/>
  <c r="F407" i="35"/>
  <c r="E382" i="35"/>
  <c r="F381" i="35"/>
  <c r="F380" i="35"/>
  <c r="F379" i="35"/>
  <c r="F378" i="35"/>
  <c r="F377" i="35"/>
  <c r="F376" i="35"/>
  <c r="F375" i="35"/>
  <c r="F374" i="35"/>
  <c r="F373" i="35"/>
  <c r="F372" i="35"/>
  <c r="F371" i="35"/>
  <c r="F331" i="35"/>
  <c r="F330" i="35"/>
  <c r="F329" i="35"/>
  <c r="F328" i="35"/>
  <c r="F327" i="35"/>
  <c r="F326" i="35"/>
  <c r="F325" i="35"/>
  <c r="F324" i="35"/>
  <c r="F323" i="35"/>
  <c r="F322" i="35"/>
  <c r="F321" i="35"/>
  <c r="F320" i="35"/>
  <c r="F319" i="35"/>
  <c r="F318" i="35"/>
  <c r="F317" i="35"/>
  <c r="F316" i="35"/>
  <c r="F315" i="35"/>
  <c r="F314" i="35"/>
  <c r="F313" i="35"/>
  <c r="F312" i="35"/>
  <c r="F311" i="35"/>
  <c r="F310" i="35"/>
  <c r="F309" i="35"/>
  <c r="F308" i="35"/>
  <c r="F307" i="35"/>
  <c r="F306" i="35"/>
  <c r="E270" i="35"/>
  <c r="E224" i="35"/>
  <c r="F223" i="35"/>
  <c r="F222" i="35"/>
  <c r="F221" i="35"/>
  <c r="F220" i="35"/>
  <c r="F219" i="35"/>
  <c r="F218" i="35"/>
  <c r="F217" i="35"/>
  <c r="E191" i="35"/>
  <c r="F190" i="35"/>
  <c r="F189" i="35"/>
  <c r="F188" i="35"/>
  <c r="F187" i="35"/>
  <c r="F186" i="35"/>
  <c r="F185" i="35"/>
  <c r="F184" i="35"/>
  <c r="F183" i="35"/>
  <c r="F182" i="35"/>
  <c r="F181" i="35"/>
  <c r="E168" i="35"/>
  <c r="F167" i="35"/>
  <c r="F166" i="35"/>
  <c r="F165" i="35"/>
  <c r="E145" i="35"/>
  <c r="F144" i="35"/>
  <c r="F143" i="35"/>
  <c r="F142" i="35"/>
  <c r="F141" i="35"/>
  <c r="F140" i="35"/>
  <c r="F139" i="35"/>
  <c r="F138" i="35"/>
  <c r="F137" i="35"/>
  <c r="F136" i="35"/>
  <c r="E116" i="35"/>
  <c r="F115" i="35"/>
  <c r="F114" i="35"/>
  <c r="F113" i="35"/>
  <c r="F112" i="35"/>
  <c r="F111" i="35"/>
  <c r="F110" i="35"/>
  <c r="F109" i="35"/>
  <c r="F108" i="35"/>
  <c r="F107" i="35"/>
  <c r="F106" i="35"/>
  <c r="F105" i="35"/>
  <c r="F104" i="35"/>
  <c r="E85" i="35"/>
  <c r="E27" i="35"/>
  <c r="E414" i="34"/>
  <c r="F413" i="34"/>
  <c r="F412" i="34"/>
  <c r="F411" i="34"/>
  <c r="F410" i="34"/>
  <c r="F409" i="34"/>
  <c r="F408" i="34"/>
  <c r="F407" i="34"/>
  <c r="E382" i="34"/>
  <c r="F381" i="34"/>
  <c r="F380" i="34"/>
  <c r="F379" i="34"/>
  <c r="F378" i="34"/>
  <c r="F377" i="34"/>
  <c r="F376" i="34"/>
  <c r="F375" i="34"/>
  <c r="F374" i="34"/>
  <c r="F373" i="34"/>
  <c r="F372" i="34"/>
  <c r="F371" i="34"/>
  <c r="F331" i="34"/>
  <c r="F330" i="34"/>
  <c r="F329" i="34"/>
  <c r="F328" i="34"/>
  <c r="F327" i="34"/>
  <c r="F326" i="34"/>
  <c r="F325" i="34"/>
  <c r="F324" i="34"/>
  <c r="F323" i="34"/>
  <c r="F322" i="34"/>
  <c r="F321" i="34"/>
  <c r="F320" i="34"/>
  <c r="F319" i="34"/>
  <c r="F318" i="34"/>
  <c r="F317" i="34"/>
  <c r="F316" i="34"/>
  <c r="F315" i="34"/>
  <c r="F314" i="34"/>
  <c r="F313" i="34"/>
  <c r="F312" i="34"/>
  <c r="F311" i="34"/>
  <c r="F310" i="34"/>
  <c r="F309" i="34"/>
  <c r="F308" i="34"/>
  <c r="F307" i="34"/>
  <c r="F306" i="34"/>
  <c r="E270" i="34"/>
  <c r="E224" i="34"/>
  <c r="F223" i="34"/>
  <c r="F222" i="34"/>
  <c r="F221" i="34"/>
  <c r="F220" i="34"/>
  <c r="F219" i="34"/>
  <c r="F218" i="34"/>
  <c r="F217" i="34"/>
  <c r="E191" i="34"/>
  <c r="F190" i="34"/>
  <c r="F189" i="34"/>
  <c r="F188" i="34"/>
  <c r="F187" i="34"/>
  <c r="F186" i="34"/>
  <c r="F185" i="34"/>
  <c r="F184" i="34"/>
  <c r="F183" i="34"/>
  <c r="F182" i="34"/>
  <c r="F181" i="34"/>
  <c r="E168" i="34"/>
  <c r="F167" i="34"/>
  <c r="F166" i="34"/>
  <c r="F165" i="34"/>
  <c r="E145" i="34"/>
  <c r="F144" i="34"/>
  <c r="F143" i="34"/>
  <c r="F142" i="34"/>
  <c r="F141" i="34"/>
  <c r="F140" i="34"/>
  <c r="F139" i="34"/>
  <c r="F138" i="34"/>
  <c r="F137" i="34"/>
  <c r="F136" i="34"/>
  <c r="E116" i="34"/>
  <c r="F115" i="34"/>
  <c r="F114" i="34"/>
  <c r="F113" i="34"/>
  <c r="F112" i="34"/>
  <c r="F111" i="34"/>
  <c r="F110" i="34"/>
  <c r="F109" i="34"/>
  <c r="F108" i="34"/>
  <c r="F107" i="34"/>
  <c r="F106" i="34"/>
  <c r="F105" i="34"/>
  <c r="F104" i="34"/>
  <c r="E85" i="34"/>
  <c r="E27" i="34"/>
  <c r="E414" i="33"/>
  <c r="F413" i="33"/>
  <c r="F412" i="33"/>
  <c r="F411" i="33"/>
  <c r="F410" i="33"/>
  <c r="F409" i="33"/>
  <c r="F408" i="33"/>
  <c r="F407" i="33"/>
  <c r="E382" i="33"/>
  <c r="F381" i="33"/>
  <c r="F380" i="33"/>
  <c r="F379" i="33"/>
  <c r="F378" i="33"/>
  <c r="F377" i="33"/>
  <c r="F376" i="33"/>
  <c r="F375" i="33"/>
  <c r="F374" i="33"/>
  <c r="F373" i="33"/>
  <c r="F372" i="33"/>
  <c r="F371" i="33"/>
  <c r="F331" i="33"/>
  <c r="F330" i="33"/>
  <c r="F329" i="33"/>
  <c r="F328" i="33"/>
  <c r="F327" i="33"/>
  <c r="F326" i="33"/>
  <c r="F325" i="33"/>
  <c r="F324" i="33"/>
  <c r="F323" i="33"/>
  <c r="F322" i="33"/>
  <c r="F321" i="33"/>
  <c r="F320" i="33"/>
  <c r="F319" i="33"/>
  <c r="F318" i="33"/>
  <c r="F317" i="33"/>
  <c r="F316" i="33"/>
  <c r="F315" i="33"/>
  <c r="F314" i="33"/>
  <c r="F313" i="33"/>
  <c r="F312" i="33"/>
  <c r="F311" i="33"/>
  <c r="F310" i="33"/>
  <c r="F309" i="33"/>
  <c r="F308" i="33"/>
  <c r="F307" i="33"/>
  <c r="F306" i="33"/>
  <c r="E270" i="33"/>
  <c r="E224" i="33"/>
  <c r="F223" i="33"/>
  <c r="F222" i="33"/>
  <c r="F221" i="33"/>
  <c r="F220" i="33"/>
  <c r="F219" i="33"/>
  <c r="F218" i="33"/>
  <c r="F217" i="33"/>
  <c r="E191" i="33"/>
  <c r="F190" i="33"/>
  <c r="F189" i="33"/>
  <c r="F188" i="33"/>
  <c r="F187" i="33"/>
  <c r="F186" i="33"/>
  <c r="F185" i="33"/>
  <c r="F184" i="33"/>
  <c r="F183" i="33"/>
  <c r="F182" i="33"/>
  <c r="F181" i="33"/>
  <c r="E168" i="33"/>
  <c r="F167" i="33"/>
  <c r="F166" i="33"/>
  <c r="F165" i="33"/>
  <c r="E145" i="33"/>
  <c r="F144" i="33"/>
  <c r="F143" i="33"/>
  <c r="F142" i="33"/>
  <c r="F141" i="33"/>
  <c r="F140" i="33"/>
  <c r="F139" i="33"/>
  <c r="F138" i="33"/>
  <c r="F137" i="33"/>
  <c r="F136" i="33"/>
  <c r="E116" i="33"/>
  <c r="F115" i="33"/>
  <c r="F114" i="33"/>
  <c r="F113" i="33"/>
  <c r="F112" i="33"/>
  <c r="F111" i="33"/>
  <c r="F110" i="33"/>
  <c r="F109" i="33"/>
  <c r="F108" i="33"/>
  <c r="F107" i="33"/>
  <c r="F106" i="33"/>
  <c r="F105" i="33"/>
  <c r="F104" i="33"/>
  <c r="E85" i="33"/>
  <c r="E27" i="33"/>
  <c r="E414" i="32"/>
  <c r="F413" i="32"/>
  <c r="F412" i="32"/>
  <c r="F411" i="32"/>
  <c r="F410" i="32"/>
  <c r="F409" i="32"/>
  <c r="F408" i="32"/>
  <c r="F407" i="32"/>
  <c r="E382" i="32"/>
  <c r="F381" i="32"/>
  <c r="F380" i="32"/>
  <c r="F379" i="32"/>
  <c r="F378" i="32"/>
  <c r="F377" i="32"/>
  <c r="F376" i="32"/>
  <c r="F375" i="32"/>
  <c r="F374" i="32"/>
  <c r="F373" i="32"/>
  <c r="F372" i="32"/>
  <c r="F371" i="32"/>
  <c r="F331" i="32"/>
  <c r="F330" i="32"/>
  <c r="F329" i="32"/>
  <c r="F328" i="32"/>
  <c r="F327" i="32"/>
  <c r="F326" i="32"/>
  <c r="F325" i="32"/>
  <c r="F324" i="32"/>
  <c r="F323" i="32"/>
  <c r="F322" i="32"/>
  <c r="F321" i="32"/>
  <c r="F320" i="32"/>
  <c r="F319" i="32"/>
  <c r="F318" i="32"/>
  <c r="F317" i="32"/>
  <c r="F316" i="32"/>
  <c r="F315" i="32"/>
  <c r="F314" i="32"/>
  <c r="F313" i="32"/>
  <c r="F312" i="32"/>
  <c r="F311" i="32"/>
  <c r="F310" i="32"/>
  <c r="F308" i="32"/>
  <c r="F307" i="32"/>
  <c r="F306" i="32"/>
  <c r="E270" i="32"/>
  <c r="E224" i="32"/>
  <c r="F223" i="32"/>
  <c r="F222" i="32"/>
  <c r="F221" i="32"/>
  <c r="F220" i="32"/>
  <c r="F219" i="32"/>
  <c r="F218" i="32"/>
  <c r="F217" i="32"/>
  <c r="E191" i="32"/>
  <c r="F190" i="32"/>
  <c r="F189" i="32"/>
  <c r="F188" i="32"/>
  <c r="F187" i="32"/>
  <c r="F186" i="32"/>
  <c r="F185" i="32"/>
  <c r="F184" i="32"/>
  <c r="F183" i="32"/>
  <c r="F182" i="32"/>
  <c r="F181" i="32"/>
  <c r="E168" i="32"/>
  <c r="F167" i="32"/>
  <c r="F166" i="32"/>
  <c r="F165" i="32"/>
  <c r="E145" i="32"/>
  <c r="F144" i="32"/>
  <c r="F143" i="32"/>
  <c r="F142" i="32"/>
  <c r="F141" i="32"/>
  <c r="F140" i="32"/>
  <c r="F138" i="32"/>
  <c r="F136" i="32"/>
  <c r="E116" i="32"/>
  <c r="F115" i="32"/>
  <c r="F114" i="32"/>
  <c r="F113" i="32"/>
  <c r="F112" i="32"/>
  <c r="F111" i="32"/>
  <c r="F110" i="32"/>
  <c r="F109" i="32"/>
  <c r="F108" i="32"/>
  <c r="F107" i="32"/>
  <c r="F106" i="32"/>
  <c r="F105" i="32"/>
  <c r="F104" i="32"/>
  <c r="E85" i="32"/>
  <c r="E27" i="32"/>
  <c r="E414" i="31"/>
  <c r="F413" i="31"/>
  <c r="F412" i="31"/>
  <c r="F411" i="31"/>
  <c r="F410" i="31"/>
  <c r="F409" i="31"/>
  <c r="F408" i="31"/>
  <c r="F407" i="31"/>
  <c r="E382" i="31"/>
  <c r="F381" i="31"/>
  <c r="F380" i="31"/>
  <c r="F379" i="31"/>
  <c r="F378" i="31"/>
  <c r="F377" i="31"/>
  <c r="F376" i="31"/>
  <c r="F375" i="31"/>
  <c r="F374" i="31"/>
  <c r="F373" i="31"/>
  <c r="F372" i="31"/>
  <c r="F371" i="31"/>
  <c r="F331" i="31"/>
  <c r="F330" i="31"/>
  <c r="F329" i="31"/>
  <c r="F328" i="31"/>
  <c r="F327" i="31"/>
  <c r="F326" i="31"/>
  <c r="F325" i="31"/>
  <c r="F324" i="31"/>
  <c r="F323" i="31"/>
  <c r="F322" i="31"/>
  <c r="F321" i="31"/>
  <c r="F320" i="31"/>
  <c r="F319" i="31"/>
  <c r="F318" i="31"/>
  <c r="F317" i="31"/>
  <c r="F316" i="31"/>
  <c r="F315" i="31"/>
  <c r="F314" i="31"/>
  <c r="F313" i="31"/>
  <c r="F312" i="31"/>
  <c r="F311" i="31"/>
  <c r="F310" i="31"/>
  <c r="F309" i="31"/>
  <c r="F308" i="31"/>
  <c r="F307" i="31"/>
  <c r="F306" i="31"/>
  <c r="E270" i="31"/>
  <c r="E224" i="31"/>
  <c r="F223" i="31"/>
  <c r="F222" i="31"/>
  <c r="F221" i="31"/>
  <c r="F220" i="31"/>
  <c r="F219" i="31"/>
  <c r="F218" i="31"/>
  <c r="F217" i="31"/>
  <c r="E191" i="31"/>
  <c r="F190" i="31"/>
  <c r="F189" i="31"/>
  <c r="F188" i="31"/>
  <c r="F187" i="31"/>
  <c r="F186" i="31"/>
  <c r="F185" i="31"/>
  <c r="F184" i="31"/>
  <c r="F183" i="31"/>
  <c r="F182" i="31"/>
  <c r="F181" i="31"/>
  <c r="E168" i="31"/>
  <c r="F167" i="31"/>
  <c r="F166" i="31"/>
  <c r="F165" i="31"/>
  <c r="E145" i="31"/>
  <c r="F144" i="31"/>
  <c r="F143" i="31"/>
  <c r="F142" i="31"/>
  <c r="F141" i="31"/>
  <c r="F140" i="31"/>
  <c r="F139" i="31"/>
  <c r="F138" i="31"/>
  <c r="F137" i="31"/>
  <c r="F136" i="31"/>
  <c r="E116" i="31"/>
  <c r="F115" i="31"/>
  <c r="F114" i="31"/>
  <c r="F113" i="31"/>
  <c r="F112" i="31"/>
  <c r="F111" i="31"/>
  <c r="F110" i="31"/>
  <c r="F109" i="31"/>
  <c r="F108" i="31"/>
  <c r="F107" i="31"/>
  <c r="F106" i="31"/>
  <c r="F105" i="31"/>
  <c r="F104" i="31"/>
  <c r="E85" i="31"/>
  <c r="E27" i="31"/>
  <c r="E414" i="30"/>
  <c r="F413" i="30"/>
  <c r="F412" i="30"/>
  <c r="F411" i="30"/>
  <c r="F410" i="30"/>
  <c r="F409" i="30"/>
  <c r="F408" i="30"/>
  <c r="F407" i="30"/>
  <c r="E382" i="30"/>
  <c r="F381" i="30"/>
  <c r="F380" i="30"/>
  <c r="F379" i="30"/>
  <c r="F378" i="30"/>
  <c r="F377" i="30"/>
  <c r="F376" i="30"/>
  <c r="F375" i="30"/>
  <c r="F374" i="30"/>
  <c r="F373" i="30"/>
  <c r="F372" i="30"/>
  <c r="F371" i="30"/>
  <c r="F331" i="30"/>
  <c r="F330" i="30"/>
  <c r="F329" i="30"/>
  <c r="F328" i="30"/>
  <c r="F327" i="30"/>
  <c r="F326" i="30"/>
  <c r="F325" i="30"/>
  <c r="F324" i="30"/>
  <c r="F323" i="30"/>
  <c r="F322" i="30"/>
  <c r="F321" i="30"/>
  <c r="F320" i="30"/>
  <c r="F319" i="30"/>
  <c r="F318" i="30"/>
  <c r="F317" i="30"/>
  <c r="F316" i="30"/>
  <c r="F315" i="30"/>
  <c r="F314" i="30"/>
  <c r="F313" i="30"/>
  <c r="F312" i="30"/>
  <c r="F311" i="30"/>
  <c r="F310" i="30"/>
  <c r="F309" i="30"/>
  <c r="F308" i="30"/>
  <c r="F307" i="30"/>
  <c r="F306" i="30"/>
  <c r="E270" i="30"/>
  <c r="E224" i="30"/>
  <c r="F223" i="30"/>
  <c r="F222" i="30"/>
  <c r="F221" i="30"/>
  <c r="F220" i="30"/>
  <c r="F219" i="30"/>
  <c r="F218" i="30"/>
  <c r="F217" i="30"/>
  <c r="E191" i="30"/>
  <c r="F190" i="30"/>
  <c r="F189" i="30"/>
  <c r="F188" i="30"/>
  <c r="F187" i="30"/>
  <c r="F186" i="30"/>
  <c r="F185" i="30"/>
  <c r="F184" i="30"/>
  <c r="F183" i="30"/>
  <c r="F182" i="30"/>
  <c r="F181" i="30"/>
  <c r="E168" i="30"/>
  <c r="F167" i="30"/>
  <c r="F166" i="30"/>
  <c r="F165" i="30"/>
  <c r="E145" i="30"/>
  <c r="F144" i="30"/>
  <c r="F143" i="30"/>
  <c r="F142" i="30"/>
  <c r="F141" i="30"/>
  <c r="F140" i="30"/>
  <c r="F139" i="30"/>
  <c r="F138" i="30"/>
  <c r="F137" i="30"/>
  <c r="F136" i="30"/>
  <c r="E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E85" i="30"/>
  <c r="E27" i="30"/>
  <c r="F413" i="29"/>
  <c r="F412" i="29"/>
  <c r="F411" i="29"/>
  <c r="F410" i="29"/>
  <c r="F409" i="29"/>
  <c r="F408" i="29"/>
  <c r="F407" i="29"/>
  <c r="F381" i="29"/>
  <c r="F380" i="29"/>
  <c r="F379" i="29"/>
  <c r="F378" i="29"/>
  <c r="F377" i="29"/>
  <c r="F376" i="29"/>
  <c r="F375" i="29"/>
  <c r="F374" i="29"/>
  <c r="F373" i="29"/>
  <c r="F372" i="29"/>
  <c r="F371" i="29"/>
  <c r="F331" i="29"/>
  <c r="F330" i="29"/>
  <c r="F329" i="29"/>
  <c r="F328" i="29"/>
  <c r="F327" i="29"/>
  <c r="F326" i="29"/>
  <c r="F325" i="29"/>
  <c r="F324" i="29"/>
  <c r="F323" i="29"/>
  <c r="F322" i="29"/>
  <c r="F321" i="29"/>
  <c r="F320" i="29"/>
  <c r="F319" i="29"/>
  <c r="F318" i="29"/>
  <c r="F317" i="29"/>
  <c r="F316" i="29"/>
  <c r="F315" i="29"/>
  <c r="F314" i="29"/>
  <c r="F313" i="29"/>
  <c r="F312" i="29"/>
  <c r="F311" i="29"/>
  <c r="F310" i="29"/>
  <c r="F309" i="29"/>
  <c r="F308" i="29"/>
  <c r="F307" i="29"/>
  <c r="F306" i="29"/>
  <c r="F223" i="29"/>
  <c r="F222" i="29"/>
  <c r="F221" i="29"/>
  <c r="F220" i="29"/>
  <c r="F219" i="29"/>
  <c r="F218" i="29"/>
  <c r="F217" i="29"/>
  <c r="F190" i="29"/>
  <c r="F189" i="29"/>
  <c r="F188" i="29"/>
  <c r="F187" i="29"/>
  <c r="F186" i="29"/>
  <c r="F185" i="29"/>
  <c r="F184" i="29"/>
  <c r="F183" i="29"/>
  <c r="F182" i="29"/>
  <c r="F181" i="29"/>
  <c r="F167" i="29"/>
  <c r="F166" i="29"/>
  <c r="F165" i="29"/>
  <c r="F144" i="29"/>
  <c r="F143" i="29"/>
  <c r="F142" i="29"/>
  <c r="F141" i="29"/>
  <c r="F140" i="29"/>
  <c r="F139" i="29"/>
  <c r="F138" i="29"/>
  <c r="F137" i="29"/>
  <c r="F136" i="29"/>
  <c r="F115" i="29"/>
  <c r="F114" i="29"/>
  <c r="F113" i="29"/>
  <c r="F112" i="29"/>
  <c r="F111" i="29"/>
  <c r="F110" i="29"/>
  <c r="F109" i="29"/>
  <c r="F108" i="29"/>
  <c r="F107" i="29"/>
  <c r="F106" i="29"/>
  <c r="F105" i="29"/>
  <c r="F104" i="29"/>
  <c r="E84" i="37"/>
  <c r="E27" i="29"/>
  <c r="E414" i="28"/>
  <c r="F413" i="28"/>
  <c r="F412" i="28"/>
  <c r="F411" i="28"/>
  <c r="F410" i="28"/>
  <c r="F409" i="28"/>
  <c r="F408" i="28"/>
  <c r="F407" i="28"/>
  <c r="E382" i="28"/>
  <c r="F381" i="28"/>
  <c r="F380" i="28"/>
  <c r="F379" i="28"/>
  <c r="F378" i="28"/>
  <c r="F377" i="28"/>
  <c r="F376" i="28"/>
  <c r="F375" i="28"/>
  <c r="F374" i="28"/>
  <c r="F373" i="28"/>
  <c r="F372" i="28"/>
  <c r="F371" i="28"/>
  <c r="F331" i="28"/>
  <c r="F330" i="28"/>
  <c r="F329" i="28"/>
  <c r="F328" i="28"/>
  <c r="F327" i="28"/>
  <c r="F326" i="28"/>
  <c r="F325" i="28"/>
  <c r="F324" i="28"/>
  <c r="F323" i="28"/>
  <c r="F322" i="28"/>
  <c r="F321" i="28"/>
  <c r="F320" i="28"/>
  <c r="F319" i="28"/>
  <c r="F318" i="28"/>
  <c r="F317" i="28"/>
  <c r="F316" i="28"/>
  <c r="F315" i="28"/>
  <c r="F314" i="28"/>
  <c r="F313" i="28"/>
  <c r="F312" i="28"/>
  <c r="F311" i="28"/>
  <c r="F310" i="28"/>
  <c r="F309" i="28"/>
  <c r="F308" i="28"/>
  <c r="F307" i="28"/>
  <c r="F306" i="28"/>
  <c r="E270" i="28"/>
  <c r="E224" i="28"/>
  <c r="F223" i="28"/>
  <c r="F222" i="28"/>
  <c r="F221" i="28"/>
  <c r="F220" i="28"/>
  <c r="F219" i="28"/>
  <c r="F218" i="28"/>
  <c r="F217" i="28"/>
  <c r="E191" i="28"/>
  <c r="F190" i="28"/>
  <c r="F189" i="28"/>
  <c r="F188" i="28"/>
  <c r="F187" i="28"/>
  <c r="F186" i="28"/>
  <c r="F185" i="28"/>
  <c r="F184" i="28"/>
  <c r="F183" i="28"/>
  <c r="F182" i="28"/>
  <c r="F181" i="28"/>
  <c r="E168" i="28"/>
  <c r="F167" i="28"/>
  <c r="F166" i="28"/>
  <c r="F165" i="28"/>
  <c r="E145" i="28"/>
  <c r="F144" i="28"/>
  <c r="F143" i="28"/>
  <c r="F142" i="28"/>
  <c r="F141" i="28"/>
  <c r="F140" i="28"/>
  <c r="F139" i="28"/>
  <c r="F138" i="28"/>
  <c r="F137" i="28"/>
  <c r="F136" i="28"/>
  <c r="E116" i="28"/>
  <c r="F115" i="28"/>
  <c r="F114" i="28"/>
  <c r="F113" i="28"/>
  <c r="F112" i="28"/>
  <c r="F111" i="28"/>
  <c r="F110" i="28"/>
  <c r="F109" i="28"/>
  <c r="F108" i="28"/>
  <c r="F107" i="28"/>
  <c r="F106" i="28"/>
  <c r="F105" i="28"/>
  <c r="F104" i="28"/>
  <c r="E85" i="28"/>
  <c r="E27" i="28"/>
  <c r="E414" i="27"/>
  <c r="F413" i="27"/>
  <c r="F412" i="27"/>
  <c r="F411" i="27"/>
  <c r="F410" i="27"/>
  <c r="F409" i="27"/>
  <c r="F408" i="27"/>
  <c r="F407" i="27"/>
  <c r="E382" i="27"/>
  <c r="F381" i="27"/>
  <c r="F380" i="27"/>
  <c r="F379" i="27"/>
  <c r="F378" i="27"/>
  <c r="F377" i="27"/>
  <c r="F376" i="27"/>
  <c r="F375" i="27"/>
  <c r="F374" i="27"/>
  <c r="F373" i="27"/>
  <c r="F372" i="27"/>
  <c r="F371" i="27"/>
  <c r="F331" i="27"/>
  <c r="F330" i="27"/>
  <c r="F329" i="27"/>
  <c r="F328" i="27"/>
  <c r="F327" i="27"/>
  <c r="F326" i="27"/>
  <c r="F325" i="27"/>
  <c r="F324" i="27"/>
  <c r="F323" i="27"/>
  <c r="F322" i="27"/>
  <c r="F321" i="27"/>
  <c r="F320" i="27"/>
  <c r="F319" i="27"/>
  <c r="F318" i="27"/>
  <c r="F317" i="27"/>
  <c r="F316" i="27"/>
  <c r="F315" i="27"/>
  <c r="F314" i="27"/>
  <c r="F313" i="27"/>
  <c r="F312" i="27"/>
  <c r="F311" i="27"/>
  <c r="F310" i="27"/>
  <c r="F309" i="27"/>
  <c r="F308" i="27"/>
  <c r="F307" i="27"/>
  <c r="F306" i="27"/>
  <c r="E270" i="27"/>
  <c r="E224" i="27"/>
  <c r="F223" i="27"/>
  <c r="F222" i="27"/>
  <c r="F221" i="27"/>
  <c r="F220" i="27"/>
  <c r="F219" i="27"/>
  <c r="F218" i="27"/>
  <c r="F217" i="27"/>
  <c r="E191" i="27"/>
  <c r="F190" i="27"/>
  <c r="F189" i="27"/>
  <c r="F188" i="27"/>
  <c r="F187" i="27"/>
  <c r="F186" i="27"/>
  <c r="F185" i="27"/>
  <c r="F184" i="27"/>
  <c r="F183" i="27"/>
  <c r="F182" i="27"/>
  <c r="F181" i="27"/>
  <c r="E168" i="27"/>
  <c r="F167" i="27"/>
  <c r="F166" i="27"/>
  <c r="F165" i="27"/>
  <c r="E145" i="27"/>
  <c r="F144" i="27"/>
  <c r="F143" i="27"/>
  <c r="F142" i="27"/>
  <c r="F141" i="27"/>
  <c r="F140" i="27"/>
  <c r="F139" i="27"/>
  <c r="F138" i="27"/>
  <c r="F137" i="27"/>
  <c r="F136" i="27"/>
  <c r="E116" i="27"/>
  <c r="F115" i="27"/>
  <c r="F114" i="27"/>
  <c r="F113" i="27"/>
  <c r="F112" i="27"/>
  <c r="F111" i="27"/>
  <c r="F110" i="27"/>
  <c r="F109" i="27"/>
  <c r="F108" i="27"/>
  <c r="F107" i="27"/>
  <c r="F106" i="27"/>
  <c r="F105" i="27"/>
  <c r="F104" i="27"/>
  <c r="E85" i="27"/>
  <c r="E27" i="27"/>
  <c r="E414" i="26"/>
  <c r="F413" i="26"/>
  <c r="F412" i="26"/>
  <c r="F411" i="26"/>
  <c r="F410" i="26"/>
  <c r="F409" i="26"/>
  <c r="F408" i="26"/>
  <c r="F407" i="26"/>
  <c r="E382" i="26"/>
  <c r="F381" i="26"/>
  <c r="F380" i="26"/>
  <c r="F379" i="26"/>
  <c r="F378" i="26"/>
  <c r="F377" i="26"/>
  <c r="F376" i="26"/>
  <c r="F375" i="26"/>
  <c r="F374" i="26"/>
  <c r="F373" i="26"/>
  <c r="F372" i="26"/>
  <c r="F371" i="26"/>
  <c r="F331" i="26"/>
  <c r="F330" i="26"/>
  <c r="F329" i="26"/>
  <c r="F328" i="26"/>
  <c r="F327" i="26"/>
  <c r="F326" i="26"/>
  <c r="F325" i="26"/>
  <c r="F324" i="26"/>
  <c r="F323" i="26"/>
  <c r="F322" i="26"/>
  <c r="F321" i="26"/>
  <c r="F320" i="26"/>
  <c r="F319" i="26"/>
  <c r="F318" i="26"/>
  <c r="F317" i="26"/>
  <c r="F316" i="26"/>
  <c r="F315" i="26"/>
  <c r="F314" i="26"/>
  <c r="F313" i="26"/>
  <c r="F312" i="26"/>
  <c r="F311" i="26"/>
  <c r="F310" i="26"/>
  <c r="F309" i="26"/>
  <c r="F308" i="26"/>
  <c r="F307" i="26"/>
  <c r="F306" i="26"/>
  <c r="E270" i="26"/>
  <c r="E224" i="26"/>
  <c r="F223" i="26"/>
  <c r="F222" i="26"/>
  <c r="F221" i="26"/>
  <c r="F220" i="26"/>
  <c r="F219" i="26"/>
  <c r="F218" i="26"/>
  <c r="F217" i="26"/>
  <c r="E191" i="26"/>
  <c r="F190" i="26"/>
  <c r="F189" i="26"/>
  <c r="F188" i="26"/>
  <c r="F187" i="26"/>
  <c r="F186" i="26"/>
  <c r="F185" i="26"/>
  <c r="F184" i="26"/>
  <c r="F183" i="26"/>
  <c r="F182" i="26"/>
  <c r="F181" i="26"/>
  <c r="E168" i="26"/>
  <c r="F167" i="26"/>
  <c r="F166" i="26"/>
  <c r="F165" i="26"/>
  <c r="E145" i="26"/>
  <c r="F144" i="26"/>
  <c r="F143" i="26"/>
  <c r="F142" i="26"/>
  <c r="F141" i="26"/>
  <c r="F140" i="26"/>
  <c r="F139" i="26"/>
  <c r="F138" i="26"/>
  <c r="F137" i="26"/>
  <c r="F136" i="26"/>
  <c r="E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E85" i="26"/>
  <c r="E27" i="26"/>
  <c r="E414" i="1"/>
  <c r="F310" i="1"/>
  <c r="E224" i="1"/>
  <c r="E168" i="1"/>
  <c r="F166" i="1"/>
  <c r="F167" i="1"/>
  <c r="E145" i="1"/>
  <c r="E116" i="1"/>
  <c r="F105" i="1"/>
  <c r="F106" i="1"/>
  <c r="F107" i="1"/>
  <c r="F108" i="1"/>
  <c r="F109" i="1"/>
  <c r="F110" i="1"/>
  <c r="F111" i="1"/>
  <c r="F112" i="1"/>
  <c r="F113" i="1"/>
  <c r="F114" i="1"/>
  <c r="F115" i="1"/>
  <c r="F104" i="1"/>
  <c r="F380" i="1"/>
  <c r="F381" i="1"/>
  <c r="F413" i="1"/>
  <c r="F412" i="1"/>
  <c r="F411" i="1"/>
  <c r="F410" i="1"/>
  <c r="F409" i="1"/>
  <c r="F408" i="1"/>
  <c r="F407" i="1"/>
  <c r="E382" i="1"/>
  <c r="F379" i="1"/>
  <c r="F378" i="1"/>
  <c r="F377" i="1"/>
  <c r="F376" i="1"/>
  <c r="F375" i="1"/>
  <c r="F374" i="1"/>
  <c r="F373" i="1"/>
  <c r="F372" i="1"/>
  <c r="F371" i="1"/>
  <c r="E191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217" i="1"/>
  <c r="F332" i="36" l="1"/>
  <c r="F332" i="35"/>
  <c r="F332" i="34"/>
  <c r="F332" i="33"/>
  <c r="F332" i="32"/>
  <c r="F332" i="31"/>
  <c r="F332" i="30"/>
  <c r="F332" i="29"/>
  <c r="F332" i="28"/>
  <c r="F332" i="27"/>
  <c r="F332" i="26"/>
  <c r="E332" i="37"/>
  <c r="F414" i="1"/>
  <c r="F168" i="26"/>
  <c r="F168" i="28"/>
  <c r="F191" i="29"/>
  <c r="F224" i="29"/>
  <c r="F382" i="29"/>
  <c r="F414" i="29"/>
  <c r="F168" i="29"/>
  <c r="F145" i="30"/>
  <c r="F116" i="30"/>
  <c r="F168" i="32"/>
  <c r="F168" i="33"/>
  <c r="F224" i="33"/>
  <c r="F382" i="33"/>
  <c r="F414" i="33"/>
  <c r="F116" i="34"/>
  <c r="F145" i="34"/>
  <c r="F168" i="34"/>
  <c r="F168" i="35"/>
  <c r="F191" i="36"/>
  <c r="F224" i="36"/>
  <c r="F382" i="36"/>
  <c r="F414" i="36"/>
  <c r="F168" i="36"/>
  <c r="E27" i="37"/>
  <c r="E54" i="37"/>
  <c r="E85" i="37"/>
  <c r="F191" i="26"/>
  <c r="F224" i="26"/>
  <c r="F414" i="26"/>
  <c r="F116" i="27"/>
  <c r="F145" i="31"/>
  <c r="F145" i="33"/>
  <c r="F382" i="26"/>
  <c r="F145" i="27"/>
  <c r="F191" i="30"/>
  <c r="F224" i="30"/>
  <c r="F382" i="30"/>
  <c r="F414" i="30"/>
  <c r="F116" i="31"/>
  <c r="F191" i="33"/>
  <c r="F191" i="27"/>
  <c r="F224" i="27"/>
  <c r="F382" i="27"/>
  <c r="F414" i="27"/>
  <c r="F116" i="28"/>
  <c r="F145" i="28"/>
  <c r="F168" i="30"/>
  <c r="F191" i="31"/>
  <c r="F224" i="31"/>
  <c r="F382" i="31"/>
  <c r="F414" i="31"/>
  <c r="F116" i="32"/>
  <c r="F145" i="32"/>
  <c r="F116" i="33"/>
  <c r="F191" i="34"/>
  <c r="F224" i="34"/>
  <c r="F382" i="34"/>
  <c r="F414" i="34"/>
  <c r="F116" i="35"/>
  <c r="F145" i="35"/>
  <c r="F224" i="37"/>
  <c r="F116" i="26"/>
  <c r="F145" i="26"/>
  <c r="F168" i="27"/>
  <c r="F191" i="28"/>
  <c r="F224" i="28"/>
  <c r="F382" i="28"/>
  <c r="F414" i="28"/>
  <c r="F116" i="29"/>
  <c r="F145" i="29"/>
  <c r="F168" i="31"/>
  <c r="F191" i="32"/>
  <c r="F224" i="32"/>
  <c r="F382" i="32"/>
  <c r="F414" i="32"/>
  <c r="F191" i="35"/>
  <c r="F224" i="35"/>
  <c r="F382" i="35"/>
  <c r="F414" i="35"/>
  <c r="F116" i="36"/>
  <c r="F145" i="36"/>
  <c r="F414" i="37"/>
  <c r="E414" i="37"/>
  <c r="E382" i="37"/>
  <c r="F371" i="37"/>
  <c r="F382" i="37" s="1"/>
  <c r="E270" i="37"/>
  <c r="F191" i="37"/>
  <c r="E191" i="37"/>
  <c r="E168" i="37"/>
  <c r="F165" i="37"/>
  <c r="F168" i="37" s="1"/>
  <c r="F145" i="37"/>
  <c r="E145" i="37"/>
  <c r="E116" i="37"/>
  <c r="F104" i="37"/>
  <c r="F116" i="37" s="1"/>
  <c r="F116" i="1"/>
  <c r="F382" i="1"/>
  <c r="F165" i="1" l="1"/>
  <c r="F168" i="1" s="1"/>
  <c r="E270" i="1" l="1"/>
  <c r="E27" i="1" l="1"/>
  <c r="E85" i="1" l="1"/>
  <c r="F307" i="1" l="1"/>
  <c r="F308" i="1"/>
  <c r="F309" i="1"/>
  <c r="F306" i="1" l="1"/>
  <c r="F332" i="1" s="1"/>
  <c r="F223" i="1"/>
  <c r="F222" i="1"/>
  <c r="F221" i="1"/>
  <c r="F220" i="1"/>
  <c r="F219" i="1"/>
  <c r="F218" i="1"/>
  <c r="F190" i="1"/>
  <c r="F189" i="1"/>
  <c r="F188" i="1"/>
  <c r="F187" i="1"/>
  <c r="F186" i="1"/>
  <c r="F185" i="1"/>
  <c r="F184" i="1"/>
  <c r="F183" i="1"/>
  <c r="F182" i="1"/>
  <c r="F181" i="1"/>
  <c r="F144" i="1"/>
  <c r="F143" i="1"/>
  <c r="F142" i="1"/>
  <c r="F141" i="1"/>
  <c r="F140" i="1"/>
  <c r="F139" i="1"/>
  <c r="F138" i="1"/>
  <c r="F137" i="1"/>
  <c r="F136" i="1"/>
  <c r="F224" i="1" l="1"/>
  <c r="F145" i="1"/>
  <c r="F191" i="1"/>
  <c r="F306" i="37"/>
  <c r="F332" i="37" s="1"/>
</calcChain>
</file>

<file path=xl/sharedStrings.xml><?xml version="1.0" encoding="utf-8"?>
<sst xmlns="http://schemas.openxmlformats.org/spreadsheetml/2006/main" count="5941" uniqueCount="261">
  <si>
    <t>م</t>
  </si>
  <si>
    <t>الوحده</t>
  </si>
  <si>
    <t>لحم بقري وجاموس</t>
  </si>
  <si>
    <t>كجم</t>
  </si>
  <si>
    <t xml:space="preserve">لحم ابل </t>
  </si>
  <si>
    <t>البلاد المصدرة :</t>
  </si>
  <si>
    <t xml:space="preserve">ايس كريم </t>
  </si>
  <si>
    <t>زبد  وسمن طبيعي ودهن اللبن اللامائي</t>
  </si>
  <si>
    <t>بيض طازج</t>
  </si>
  <si>
    <t>بيض للتفريخ</t>
  </si>
  <si>
    <t xml:space="preserve">بيض سائل </t>
  </si>
  <si>
    <t>الوحدة</t>
  </si>
  <si>
    <t>علف حيواني</t>
  </si>
  <si>
    <t>علف دواجن</t>
  </si>
  <si>
    <t>غذاء قطط وكلاب</t>
  </si>
  <si>
    <t>مواد تدخل في تركيب العلف</t>
  </si>
  <si>
    <t>علف خيول</t>
  </si>
  <si>
    <t xml:space="preserve">علف سمك </t>
  </si>
  <si>
    <t xml:space="preserve">جلد سمك </t>
  </si>
  <si>
    <t>أدوية بيطرية</t>
  </si>
  <si>
    <t>لقاحات بيطرية</t>
  </si>
  <si>
    <t>أوساط حيوية</t>
  </si>
  <si>
    <t>سائل منوي</t>
  </si>
  <si>
    <t xml:space="preserve">فيتامينات واملاح معدنية </t>
  </si>
  <si>
    <t xml:space="preserve">مطهرات بيطرية </t>
  </si>
  <si>
    <t xml:space="preserve">محلول محلي </t>
  </si>
  <si>
    <t xml:space="preserve">معدات بيطرية </t>
  </si>
  <si>
    <t>خيول</t>
  </si>
  <si>
    <t>راس</t>
  </si>
  <si>
    <t xml:space="preserve">ابل </t>
  </si>
  <si>
    <t>ماعز</t>
  </si>
  <si>
    <t>ابقار</t>
  </si>
  <si>
    <t>كلاب</t>
  </si>
  <si>
    <t>قطط</t>
  </si>
  <si>
    <t>غزلان</t>
  </si>
  <si>
    <t xml:space="preserve">المها العربية </t>
  </si>
  <si>
    <t>كتاكيت</t>
  </si>
  <si>
    <t xml:space="preserve">طيور زينة </t>
  </si>
  <si>
    <t>بغبغاوات</t>
  </si>
  <si>
    <t>ثانيا:الصـــــــــــــــادرات</t>
  </si>
  <si>
    <t xml:space="preserve">أسماك ( باقي دول العالم ) </t>
  </si>
  <si>
    <t>بيضة</t>
  </si>
  <si>
    <t>قطعة</t>
  </si>
  <si>
    <t xml:space="preserve">نوع الطيور/الحيوان  </t>
  </si>
  <si>
    <t xml:space="preserve">نوع المنتج  </t>
  </si>
  <si>
    <t>حليب طازج</t>
  </si>
  <si>
    <t>بيض مجفف</t>
  </si>
  <si>
    <t>بوني</t>
  </si>
  <si>
    <t>زيبرا</t>
  </si>
  <si>
    <t>اللاما</t>
  </si>
  <si>
    <t>سناجب</t>
  </si>
  <si>
    <t xml:space="preserve">حيوانات السيرك والعروض </t>
  </si>
  <si>
    <t>نعام</t>
  </si>
  <si>
    <t>رأس</t>
  </si>
  <si>
    <t>لحم أغنام وماعز</t>
  </si>
  <si>
    <t xml:space="preserve">لحم غزال </t>
  </si>
  <si>
    <t>أسماك</t>
  </si>
  <si>
    <t>حليب طويل الاجل</t>
  </si>
  <si>
    <t>حليب مجفف</t>
  </si>
  <si>
    <t xml:space="preserve">أجبان ومنتجاتها </t>
  </si>
  <si>
    <t xml:space="preserve">قشدة وكريمة </t>
  </si>
  <si>
    <t xml:space="preserve">زعانف سمك القرش </t>
  </si>
  <si>
    <t xml:space="preserve">جرعة </t>
  </si>
  <si>
    <t>صفيلح</t>
  </si>
  <si>
    <t xml:space="preserve">نوع الارسالية </t>
  </si>
  <si>
    <t>التاريخ</t>
  </si>
  <si>
    <t xml:space="preserve"> الوزن </t>
  </si>
  <si>
    <t xml:space="preserve">الدولة المصدرة </t>
  </si>
  <si>
    <t xml:space="preserve">سبب الرفض </t>
  </si>
  <si>
    <t xml:space="preserve">الاجراء النهائي </t>
  </si>
  <si>
    <t>نوع الارسالية</t>
  </si>
  <si>
    <t>ضان</t>
  </si>
  <si>
    <t xml:space="preserve">  </t>
  </si>
  <si>
    <t xml:space="preserve">التحليل المطلوب </t>
  </si>
  <si>
    <t>النتيجة</t>
  </si>
  <si>
    <t>المنشأ</t>
  </si>
  <si>
    <t>نوع العينة</t>
  </si>
  <si>
    <t>الإجمالي</t>
  </si>
  <si>
    <t xml:space="preserve">أسماك مستزرعة </t>
  </si>
  <si>
    <t>أسماك  ( للإتحاد الأوروبي )</t>
  </si>
  <si>
    <t xml:space="preserve">الإجمالي </t>
  </si>
  <si>
    <t>البلاد المستوردة :</t>
  </si>
  <si>
    <t>العدد</t>
  </si>
  <si>
    <t xml:space="preserve">الوزن بالكيلو </t>
  </si>
  <si>
    <t>الوزن بالطن</t>
  </si>
  <si>
    <t xml:space="preserve">الوزن بالطن </t>
  </si>
  <si>
    <t xml:space="preserve">إجمالي الوزن </t>
  </si>
  <si>
    <t>إجمالي الوزن</t>
  </si>
  <si>
    <t xml:space="preserve">نوع الطيور  </t>
  </si>
  <si>
    <t xml:space="preserve">نوع الحيوان </t>
  </si>
  <si>
    <t>العدد / الوزن</t>
  </si>
  <si>
    <t xml:space="preserve">العدد / الوزن </t>
  </si>
  <si>
    <t xml:space="preserve">الوزن / العدد </t>
  </si>
  <si>
    <t>منتجات لحوم مصنعة 
( مرتديلا - نقانق - سجق - لحم مفروم - لحم مدخن - مجفف .....)</t>
  </si>
  <si>
    <t>لحوم دواجن
( دجاج - ارانب - بط - حمام - سمان - رومي - نعام  )</t>
  </si>
  <si>
    <t>منتجات لحوم دواجن مصنعة
(مرتديلا - مفروم - مجفف - نقانق - مدخن )</t>
  </si>
  <si>
    <t>لحم خنزير ومنتجاته</t>
  </si>
  <si>
    <t>منتجات أسماك 
( تونة - رنجة - انشوجة - ساردين - مجفف - مدخن )</t>
  </si>
  <si>
    <t xml:space="preserve">شحوم حيوانية </t>
  </si>
  <si>
    <t xml:space="preserve">زيت السمك للاستهلاك الادمي </t>
  </si>
  <si>
    <t>منتجات ألبان 
( روب - لبن - مصل اللبن .....)</t>
  </si>
  <si>
    <t>منتجات الحليب
 ( حليب مكثف - حليب محلى - حليب مخثر - حليب مع نكهات ...)</t>
  </si>
  <si>
    <t>قوارض 
(فئران - سناجب - خنزيرغينيا - هامستر )</t>
  </si>
  <si>
    <t>برمائيات 
(سلاحف - ضفادع )</t>
  </si>
  <si>
    <t>زواحف 
( ثعابين - سحالي - تماسيح )</t>
  </si>
  <si>
    <t>دواجن
( حمام - بط - ارانب - دجاج - تركي )</t>
  </si>
  <si>
    <t xml:space="preserve">طاووس </t>
  </si>
  <si>
    <t>ببغاء</t>
  </si>
  <si>
    <t xml:space="preserve">بطريق </t>
  </si>
  <si>
    <t>اسماك تربية ( زريعة )</t>
  </si>
  <si>
    <t xml:space="preserve">طيور جارحة </t>
  </si>
  <si>
    <t xml:space="preserve">حيوانات برية مفترسة </t>
  </si>
  <si>
    <t xml:space="preserve">الرئيسيات  </t>
  </si>
  <si>
    <t>منتجات البيض 
(مايونيز - كريم كراميل -...)</t>
  </si>
  <si>
    <t>زيت سمك  للاستهلاك الحيواني</t>
  </si>
  <si>
    <t>مسحوق سمك للاستهلاك الحيواني</t>
  </si>
  <si>
    <t>أسماك مجففة للاستهلاك الحيواني</t>
  </si>
  <si>
    <t xml:space="preserve">اجمالي الوزن </t>
  </si>
  <si>
    <t>منتجات البيض 
( مايونيز - كريم كراميل ...)</t>
  </si>
  <si>
    <t xml:space="preserve">جلود 
( ابقار - جاموس - اغنام -ماعز - ........) </t>
  </si>
  <si>
    <t xml:space="preserve">الدولة المستوردة </t>
  </si>
  <si>
    <t xml:space="preserve">الدولة المستوردة  </t>
  </si>
  <si>
    <t xml:space="preserve">الكمية / الوزن </t>
  </si>
  <si>
    <t>الكمية / الوزن</t>
  </si>
  <si>
    <t>الكمية / ألوزن</t>
  </si>
  <si>
    <t>اسماك زينة</t>
  </si>
  <si>
    <t>أسماك الزينة</t>
  </si>
  <si>
    <t>أسماك زينة</t>
  </si>
  <si>
    <t>اسماك الزينة</t>
  </si>
  <si>
    <t xml:space="preserve">اسماك زينة </t>
  </si>
  <si>
    <t xml:space="preserve">ثالثا: الإرساليات البيطرية المرفوضة : </t>
  </si>
  <si>
    <t>أولا: الواردات</t>
  </si>
  <si>
    <t>سلطنة عمان</t>
  </si>
  <si>
    <t>وزارة الزراعة والثروة السمكية</t>
  </si>
  <si>
    <t xml:space="preserve"> 1- حيوانــــــــــــات حيـــــــــــــة :</t>
  </si>
  <si>
    <t xml:space="preserve"> 2-حيوانــــــــــــات أليفة وبرية  :</t>
  </si>
  <si>
    <t xml:space="preserve">3-طيــــــــــــــور وأسماك حيـــــــــــــــة:         </t>
  </si>
  <si>
    <t xml:space="preserve"> 4-لحـــــــــــــــــوم وأسمــــــــــــــاك:</t>
  </si>
  <si>
    <t xml:space="preserve">5- منتجــات حيوانيـــة: </t>
  </si>
  <si>
    <t xml:space="preserve">6-  بيــــــــــــــض :    </t>
  </si>
  <si>
    <t xml:space="preserve">7- منتجات البيض : </t>
  </si>
  <si>
    <t>8-  أعـــــــــــــلاف ومخلفــــــــــــات حيوانيــــــــــة:</t>
  </si>
  <si>
    <t>9- الجلود الحيوانية :</t>
  </si>
  <si>
    <t xml:space="preserve">10- اللقاحات البيطرية : </t>
  </si>
  <si>
    <t>11- مستحضــــــرات بيطريـــــــــــة وبيولوجيــــــــــــة:</t>
  </si>
  <si>
    <t>1- حيوانات وطيور حية :</t>
  </si>
  <si>
    <t>2- المنتجات الحوانية :</t>
  </si>
  <si>
    <t>3- البيض :</t>
  </si>
  <si>
    <t>4- أعـــــــــــــلاف ومخلفــــــــــــات حيوانيــــــــــة:</t>
  </si>
  <si>
    <t>5- الجلود الحيوانية :</t>
  </si>
  <si>
    <t xml:space="preserve">6- اللقاحات البيطرية : </t>
  </si>
  <si>
    <t>7- مستحضــــــرات بيطريـــــــــــة وبيولوجيــــــــــــة:</t>
  </si>
  <si>
    <t>رابعا: الإرساليات البيطرية المرتجعة :</t>
  </si>
  <si>
    <t>خامسا: نتائج عينات المختبر:</t>
  </si>
  <si>
    <t>تقرير أعمال قسم الحجر البيطري لشهر يناير</t>
  </si>
  <si>
    <t>تقرير أعمال قسم الحجر البيطري لشهر فبراير</t>
  </si>
  <si>
    <t>تقرير أعمال قسم الحجر البيطري لشهر مارس</t>
  </si>
  <si>
    <t>تقرير أعمال قسم الحجر البيطري لشهر ابريل</t>
  </si>
  <si>
    <t>تقرير أعمال قسم الحجر البيطري لشهر مايو</t>
  </si>
  <si>
    <t>تقرير أعمال قسم الحجر البيطري لشهر يوليو</t>
  </si>
  <si>
    <t>تقرير أعمال قسم الحجر البيطري لشهر يونيو</t>
  </si>
  <si>
    <t>تقرير أعمال قسم الحجر البيطري لشهر أغسطس</t>
  </si>
  <si>
    <t>تقرير أعمال قسم الحجر البيطري لشهر سبتمبر</t>
  </si>
  <si>
    <t>تقرير أعمال قسم الحجر البيطري لشهر أكتوبر</t>
  </si>
  <si>
    <t>تقرير أعمال قسم الحجر البيطري لشهر نوفمبر</t>
  </si>
  <si>
    <t>تقرير أعمال قسم الحجر البيطري لشهر ديسمبر</t>
  </si>
  <si>
    <t>التقرير السنوي لأعمال قسم الحجر البيطري</t>
  </si>
  <si>
    <t>منفــــــــــــــــــــــــــــــذ:</t>
  </si>
  <si>
    <t>منفـــــــــــــــــــــــــــــــــذ:</t>
  </si>
  <si>
    <t>الوجاجه</t>
  </si>
  <si>
    <t xml:space="preserve"> </t>
  </si>
  <si>
    <t>الامارات/فرنسا/الولايات المتحدة/اورغواي/المملكة المتحدة و ايرلندا</t>
  </si>
  <si>
    <t>الامارات - قطر</t>
  </si>
  <si>
    <t xml:space="preserve">الامارات  </t>
  </si>
  <si>
    <t>الامارات - اسبانيا - النرويج - الهند - اندونسيا - عمان - اوغندا - تركيا - نيوزيلاندا</t>
  </si>
  <si>
    <t>الامارات - فيتنام - النرويج - اليونان - اندونيسيا</t>
  </si>
  <si>
    <t>الامارات - البرازيل - هولندا - استراليا -جنوب افريقيا</t>
  </si>
  <si>
    <t xml:space="preserve">الامارات - استراليا </t>
  </si>
  <si>
    <t>الامارات - السعوديه - الكويت - استراليا - امريكا</t>
  </si>
  <si>
    <t>الامارات - البرازيل - امريكا - فرنسا - تايلاند - الارجنتين - المكسيك</t>
  </si>
  <si>
    <t>الامارات</t>
  </si>
  <si>
    <t>تايلاند - كندا - المانيا - الصين - فرنسا - نيوزيلاندا - المملكة المتحدة - الولايات المتحدة - التشيك</t>
  </si>
  <si>
    <t>الامارات - المانيا - بلغاريا</t>
  </si>
  <si>
    <t>اليونان الدنمارك</t>
  </si>
  <si>
    <t>المملكة المتحده</t>
  </si>
  <si>
    <t>سلوفاكيا -فرنسا - المكسيك - الولايات المتحدة - كوريا  الجنوبية</t>
  </si>
  <si>
    <t>المانيا - كندا - بلجيكا - الهند - نيوزيلاند - استونيا - ليتوانيا - النمسا - الارجنتين - اسبانيا - كوريا الجنوبيه - الدنمارك - اليونان - تايلاند - المملكة المتحده - امريكا - فرنسا</t>
  </si>
  <si>
    <t>اسبانيا - المانيا</t>
  </si>
  <si>
    <t>بريطانيا – فرنسا – بلجيكا – الدنمارك – عمان - الامارات</t>
  </si>
  <si>
    <t>اسبانيا - كوريا الجنوبية</t>
  </si>
  <si>
    <t xml:space="preserve">المجر – تايلاند – فرنسا – استراليا – جمهورية التشيك – الصين – هولندا - المملكة المتحده </t>
  </si>
  <si>
    <t>استونيا – الهند – ليتوانيا –هولندا – بلجيكا – كندا – ايطاليا –النمسا – البرازيل – اسبانيا- الصين – امريكا - روسيا</t>
  </si>
  <si>
    <t>امريكا - فرنسا</t>
  </si>
  <si>
    <t>جنوب افريقيا - عمان</t>
  </si>
  <si>
    <t>فرنسا</t>
  </si>
  <si>
    <t>المانيا - اسبانيا</t>
  </si>
  <si>
    <t>فرنسا – امريكا - تركيا</t>
  </si>
  <si>
    <t>استراليا/السعودية/فرنسا/ايطاليا/اسبانيا/ايرلندا/امريكا/المملكة المتحدة/جنوب افريقيا/عمان/الامارات</t>
  </si>
  <si>
    <t>فرنسا/الهند/الصين/عمان/ميانمار/فيتنام/النرويج/بلغاريا/يوغندا/نيوزيلاند/انونيسيا/ايسلند/باكستان/الامارات</t>
  </si>
  <si>
    <t>البرازيل/استراليا/ماليزيا/هولندا/الامارات/ايطاليا/فرنسا</t>
  </si>
  <si>
    <t>استراليا/البرازيل/الاروغواي/هولندا/الامارات</t>
  </si>
  <si>
    <t>السعودية/الامارات/استراليا</t>
  </si>
  <si>
    <t>البرازيل/استراليا/امريكا/اوكرانيا/الامارات/فرنسا</t>
  </si>
  <si>
    <t>الامارات/فرنسا</t>
  </si>
  <si>
    <t>اسبانيا/الامارات/كوريا</t>
  </si>
  <si>
    <t>بلغاريا</t>
  </si>
  <si>
    <t>فرنسا/استراليا/هنقاريا/انجلترا/الصين/هولندا/اليونان/المانيا/تايلند</t>
  </si>
  <si>
    <t>المغرب/امريكا/ايطاليا/التشيك/المملكة الكتحدة/كوريا الجنوبية/فرنسا/المكسيك/استراليا/سلوفاكيا</t>
  </si>
  <si>
    <t>الامارات/اسبانيا/النمسا/امريكا/سلوفاكيا/كوريا الجنوبية</t>
  </si>
  <si>
    <t>اسبانيا/المانيا</t>
  </si>
  <si>
    <t>المانيا/بلغاريا/الصين/الهند/المملكة المتحدة/كوريا الجنوبية/التشيك/الامارات</t>
  </si>
  <si>
    <t>البرازيل</t>
  </si>
  <si>
    <t xml:space="preserve">إعادة تصدير </t>
  </si>
  <si>
    <t>عدم ارفاق شهادة صحية بيطرية و شهادة مصيد للمنتجات ذات بلد المنشأ النرويج</t>
  </si>
  <si>
    <t>أغذية قطط وكلاب</t>
  </si>
  <si>
    <t>عدم استكمال الاوراق الناقصة</t>
  </si>
  <si>
    <t>روبيان</t>
  </si>
  <si>
    <t>عدم إرفاق الاوراق المطلوبة(شهادة مصيد)</t>
  </si>
  <si>
    <t>الامارات/فرنسا/الولايات المتحدة/اورغواي/المملكة المتحدة /ايطاليا/ ايرلندا</t>
  </si>
  <si>
    <t>الامارات/اسبانيا/النرويج/الهند/اندونيسيا/فيتنام/اوغندا/باكستان/نيوزيلاند/اليابان/الصين/روسيا</t>
  </si>
  <si>
    <t>الامارات/البرازيل /الدنمارك/ فرنسا/ تايلاند/ماليزيا/السعودية</t>
  </si>
  <si>
    <t>الامارات/البرازيل/هولندا/استراليا/السعودية/فرنسا/جنوب افريقيا/سنغافوره/تشيلي /الدنمارك /اليابان/ ماليزيا</t>
  </si>
  <si>
    <t>الامارات/استراليا/السعودية/ايطاليا</t>
  </si>
  <si>
    <t>الامارات/السعودية</t>
  </si>
  <si>
    <t>الامارات/البرازيل/السعودية</t>
  </si>
  <si>
    <t>هولندا</t>
  </si>
  <si>
    <t>تايلاند/هولندا/المجر/الصين/فرنسا/نيوزيلاند/المملكة المتحدة/الولايات المتحدة/ التشيك/استراليا/ايطاليا</t>
  </si>
  <si>
    <t>عمان</t>
  </si>
  <si>
    <t>كندا / /اسبانيا/كوريا الجنوبية/ /الصين/بلغاريا/روسيا/البرازيل /تايلاند/المملكة المتحدة/الولايات المتحدة/فرنسا</t>
  </si>
  <si>
    <t>سلوفاكيا / كوريا الجنوبية / فرنسا / الولايات المتحده /المغرب/الصين</t>
  </si>
  <si>
    <t>رومانيا/المملكة المتحدة/الصين/ايطاليا/اسبانيا/المانيا</t>
  </si>
  <si>
    <t>عدم استكمال الاوراق المطلوبة</t>
  </si>
  <si>
    <t>رفض و اعادة تصدير</t>
  </si>
  <si>
    <t>أمريكا-الارجواي-الامارات-ايرلندا-بريطانيا-عمان-فرنسا-قطر-هولندا</t>
  </si>
  <si>
    <t>اوغندا</t>
  </si>
  <si>
    <t>الامارات-الهند-اسبانيا-اوغندا-الامارات-ايسلندا-باكستان-تايوان-عمان-تركيا-تشيلي-روسيا-فيتنام-نيوزلندا-هولندا</t>
  </si>
  <si>
    <t>استراليا-الامارات-السعودية</t>
  </si>
  <si>
    <t>استراليا-الامارات-البرازيل-اليابان-ايطاليا-جنوب إفريقيا-فرنسا-نيوزلاندا-نيوزلندا</t>
  </si>
  <si>
    <t>الامارات-السعودية</t>
  </si>
  <si>
    <t>أوكرانيا-الامارات-البرازيل-فرنسا-ماليزيا-هولندا</t>
  </si>
  <si>
    <t>استراليا-الصين-المانيا-المجر-المملكة المتحدة-اليونان-تايلند-فرنسا-هولندا</t>
  </si>
  <si>
    <t>أسبانيا-أمريكا-إيطاليا-البرازيل-انجلترا-فيتنام-كوريا الجنوبية</t>
  </si>
  <si>
    <t>المملكة المتحدة-سلوفاكيا-فرنسا-كرواتيا</t>
  </si>
  <si>
    <t>أسبانيا-استراليا-الصين-الهند-تركيا-فيتنام-كوريا الجنوبية-مصر</t>
  </si>
  <si>
    <t>اسبانيا-المانيا</t>
  </si>
  <si>
    <t>عدم صحة البيانات بالاوراق المرفقة</t>
  </si>
  <si>
    <t>رفض و إعادة تصدير</t>
  </si>
  <si>
    <t>عدم التوافق بأسعار البيع</t>
  </si>
  <si>
    <t>تحويل للمدينة اللوجستية بغضفان للفحص الظاهرى</t>
  </si>
  <si>
    <t xml:space="preserve">فرنسا-استراليا -امريكا -سولفينيا-الامارات-الاورجواي </t>
  </si>
  <si>
    <t>الامارات(الوبر الصخري)</t>
  </si>
  <si>
    <t>الامارات - فيتنام - النرويج – الهند- اندونيسيا - عمان –اوغندا -الصين– باكستان- ايسلندا- اسبانيا-استراليا-جزر فارو-ايطاليا-تايوان</t>
  </si>
  <si>
    <t>الامارات – فيتنام – أستراليا-هولندا-امريكا-الهند-ميانمار-اوغندا-الصين-النرويج</t>
  </si>
  <si>
    <t>الامارات – استراليا –البرازيل –ايطاليا</t>
  </si>
  <si>
    <t>الامارات – استراليا- البرازيل- كينيا-ماليزيا</t>
  </si>
  <si>
    <t>الامارات – السعودية</t>
  </si>
  <si>
    <t>الامارات -البرازيل – امريكا- فرنسا – استراليا – أوكرانيا-تايلاند-مصر</t>
  </si>
  <si>
    <t xml:space="preserve">المجر – تايلاند – فرنسا – استراليا – جمهورية التشيك </t>
  </si>
  <si>
    <t>الولايات المتحده - ايطاليا - فرنسا</t>
  </si>
  <si>
    <t>ايطاليا-البرازيل-الهند- كندا- اسبانيا-– امريكا –استراليا-الاردن-بلجيكا-المانيا-فرنسا-الصين-صربيا-فيتنام</t>
  </si>
  <si>
    <t>ألمانيا-أسبانيا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</si>
</sst>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;[Red]0.0"/>
    <numFmt numFmtId="166" formatCode="0;[Red]0"/>
  </numFmts>
  <fonts count="20" x14ac:knownFonts="1">
    <font>
      <sz val="11"/>
      <color theme="1"/>
      <name val="Arial"/>
      <family val="2"/>
      <charset val="178"/>
      <scheme val="minor"/>
    </font>
    <font>
      <sz val="10"/>
      <color theme="1"/>
      <name val="Arial Black"/>
      <family val="2"/>
    </font>
    <font>
      <b/>
      <sz val="18"/>
      <color theme="1"/>
      <name val="Times New Roman"/>
      <family val="1"/>
    </font>
    <font>
      <b/>
      <sz val="22"/>
      <color theme="1"/>
      <name val="Times New Roman"/>
      <family val="1"/>
    </font>
    <font>
      <sz val="10"/>
      <color theme="1"/>
      <name val="Times New Roman"/>
      <family val="1"/>
      <scheme val="major"/>
    </font>
    <font>
      <b/>
      <sz val="10"/>
      <color theme="1"/>
      <name val="Times New Roman"/>
      <family val="1"/>
      <scheme val="major"/>
    </font>
    <font>
      <b/>
      <sz val="10"/>
      <color theme="6" tint="-0.249977111117893"/>
      <name val="Times New Roman"/>
      <family val="1"/>
      <scheme val="major"/>
    </font>
    <font>
      <b/>
      <sz val="10"/>
      <color rgb="FF00B050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6"/>
      <color theme="0"/>
      <name val="Times New Roman"/>
      <family val="1"/>
      <scheme val="major"/>
    </font>
    <font>
      <b/>
      <sz val="16"/>
      <color indexed="9"/>
      <name val="Times New Roman"/>
      <family val="1"/>
      <scheme val="major"/>
    </font>
    <font>
      <b/>
      <sz val="14"/>
      <color theme="1"/>
      <name val="Arial"/>
      <family val="2"/>
      <scheme val="minor"/>
    </font>
    <font>
      <b/>
      <sz val="14"/>
      <color indexed="8"/>
      <name val="Arial"/>
      <family val="2"/>
      <scheme val="minor"/>
    </font>
    <font>
      <sz val="10"/>
      <color rgb="FFC00000"/>
      <name val="Times New Roman"/>
      <family val="1"/>
      <scheme val="major"/>
    </font>
    <font>
      <b/>
      <sz val="10"/>
      <color rgb="FFC00000"/>
      <name val="Times New Roman"/>
      <family val="1"/>
      <scheme val="major"/>
    </font>
    <font>
      <b/>
      <sz val="18"/>
      <color theme="1"/>
      <name val="Arial"/>
      <family val="2"/>
      <scheme val="minor"/>
    </font>
    <font>
      <b/>
      <sz val="18"/>
      <color indexed="8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0"/>
      <color rgb="FFC00000"/>
      <name val="Times New Roman"/>
      <family val="1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indexed="64"/>
      </right>
      <top/>
      <bottom/>
      <diagonal/>
    </border>
    <border diagonalUp="1" diagonalDown="1"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 style="double">
        <color auto="1"/>
      </diagonal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6" xfId="0" applyFont="1" applyBorder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/>
    <xf numFmtId="0" fontId="4" fillId="0" borderId="8" xfId="0" applyFont="1" applyBorder="1"/>
    <xf numFmtId="165" fontId="5" fillId="3" borderId="9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166" fontId="4" fillId="0" borderId="0" xfId="0" applyNumberFormat="1" applyFont="1" applyAlignment="1">
      <alignment horizontal="center"/>
    </xf>
    <xf numFmtId="164" fontId="5" fillId="3" borderId="9" xfId="0" applyNumberFormat="1" applyFont="1" applyFill="1" applyBorder="1" applyAlignment="1">
      <alignment horizontal="center" vertical="center"/>
    </xf>
    <xf numFmtId="0" fontId="4" fillId="0" borderId="7" xfId="0" applyFont="1" applyBorder="1"/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top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>
      <alignment horizontal="center" vertical="center"/>
    </xf>
    <xf numFmtId="0" fontId="4" fillId="0" borderId="12" xfId="0" applyFont="1" applyBorder="1"/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5" fillId="0" borderId="12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1" fontId="5" fillId="6" borderId="3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0" xfId="0" applyFont="1" applyBorder="1" applyAlignment="1">
      <alignment vertical="top"/>
    </xf>
    <xf numFmtId="0" fontId="5" fillId="0" borderId="19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13" fillId="0" borderId="0" xfId="0" applyFont="1"/>
    <xf numFmtId="0" fontId="5" fillId="0" borderId="1" xfId="0" applyFont="1" applyBorder="1" applyAlignment="1" applyProtection="1">
      <alignment horizontal="right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 applyProtection="1">
      <alignment horizontal="right" vertical="center"/>
      <protection locked="0"/>
    </xf>
    <xf numFmtId="0" fontId="4" fillId="0" borderId="0" xfId="0" applyFont="1" applyProtection="1">
      <protection locked="0"/>
    </xf>
    <xf numFmtId="0" fontId="18" fillId="0" borderId="21" xfId="0" applyFont="1" applyBorder="1" applyAlignment="1" applyProtection="1">
      <alignment horizontal="center" vertical="center"/>
      <protection locked="0"/>
    </xf>
    <xf numFmtId="0" fontId="17" fillId="0" borderId="20" xfId="0" applyFont="1" applyBorder="1" applyAlignment="1" applyProtection="1">
      <alignment vertical="center" wrapText="1"/>
      <protection locked="0"/>
    </xf>
    <xf numFmtId="0" fontId="19" fillId="0" borderId="0" xfId="0" applyFont="1"/>
    <xf numFmtId="0" fontId="5" fillId="0" borderId="3" xfId="0" applyFont="1" applyBorder="1" applyAlignment="1" applyProtection="1">
      <alignment horizontal="right" vertical="center"/>
      <protection locked="0"/>
    </xf>
    <xf numFmtId="0" fontId="5" fillId="0" borderId="7" xfId="0" applyFont="1" applyBorder="1" applyAlignment="1" applyProtection="1">
      <alignment horizontal="right" vertical="center"/>
      <protection locked="0"/>
    </xf>
    <xf numFmtId="0" fontId="5" fillId="0" borderId="4" xfId="0" applyFont="1" applyBorder="1" applyAlignment="1" applyProtection="1">
      <alignment horizontal="right" vertical="center"/>
      <protection locked="0"/>
    </xf>
    <xf numFmtId="0" fontId="5" fillId="0" borderId="0" xfId="0" applyFont="1" applyAlignment="1">
      <alignment horizontal="center" vertical="center"/>
    </xf>
    <xf numFmtId="0" fontId="8" fillId="5" borderId="3" xfId="0" applyFont="1" applyFill="1" applyBorder="1" applyAlignment="1">
      <alignment horizontal="center" vertical="center" readingOrder="2"/>
    </xf>
    <xf numFmtId="0" fontId="8" fillId="5" borderId="7" xfId="0" applyFont="1" applyFill="1" applyBorder="1" applyAlignment="1">
      <alignment horizontal="center" vertical="center" readingOrder="2"/>
    </xf>
    <xf numFmtId="0" fontId="8" fillId="5" borderId="4" xfId="0" applyFont="1" applyFill="1" applyBorder="1" applyAlignment="1">
      <alignment horizontal="center" vertical="center" readingOrder="2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right" vertical="center"/>
    </xf>
    <xf numFmtId="0" fontId="5" fillId="7" borderId="7" xfId="0" applyFont="1" applyFill="1" applyBorder="1" applyAlignment="1">
      <alignment horizontal="right" vertical="center"/>
    </xf>
    <xf numFmtId="0" fontId="5" fillId="7" borderId="4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center" readingOrder="2"/>
    </xf>
    <xf numFmtId="0" fontId="8" fillId="5" borderId="7" xfId="0" applyFont="1" applyFill="1" applyBorder="1" applyAlignment="1">
      <alignment horizontal="center" readingOrder="2"/>
    </xf>
    <xf numFmtId="0" fontId="8" fillId="5" borderId="4" xfId="0" applyFont="1" applyFill="1" applyBorder="1" applyAlignment="1">
      <alignment horizontal="center" readingOrder="2"/>
    </xf>
    <xf numFmtId="0" fontId="5" fillId="6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right" vertical="center"/>
    </xf>
    <xf numFmtId="0" fontId="9" fillId="4" borderId="14" xfId="0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 applyProtection="1">
      <alignment horizontal="center" vertical="center"/>
      <protection locked="0"/>
    </xf>
    <xf numFmtId="0" fontId="9" fillId="4" borderId="15" xfId="0" applyFont="1" applyFill="1" applyBorder="1" applyAlignment="1">
      <alignment horizontal="right" vertical="center"/>
    </xf>
    <xf numFmtId="0" fontId="9" fillId="4" borderId="16" xfId="0" applyFont="1" applyFill="1" applyBorder="1" applyAlignment="1">
      <alignment horizontal="right" vertical="center"/>
    </xf>
    <xf numFmtId="0" fontId="9" fillId="4" borderId="17" xfId="0" applyFont="1" applyFill="1" applyBorder="1" applyAlignment="1">
      <alignment horizontal="right" vertical="center"/>
    </xf>
    <xf numFmtId="0" fontId="9" fillId="4" borderId="18" xfId="0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5" borderId="2" xfId="0" applyFont="1" applyFill="1" applyBorder="1" applyAlignment="1">
      <alignment horizontal="center" readingOrder="2"/>
    </xf>
    <xf numFmtId="0" fontId="15" fillId="9" borderId="1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right" vertical="center"/>
    </xf>
    <xf numFmtId="0" fontId="10" fillId="4" borderId="14" xfId="0" applyFont="1" applyFill="1" applyBorder="1" applyAlignment="1">
      <alignment horizontal="right" vertical="center"/>
    </xf>
    <xf numFmtId="0" fontId="10" fillId="4" borderId="15" xfId="0" applyFont="1" applyFill="1" applyBorder="1" applyAlignment="1">
      <alignment horizontal="right" vertical="center"/>
    </xf>
    <xf numFmtId="0" fontId="10" fillId="4" borderId="16" xfId="0" applyFont="1" applyFill="1" applyBorder="1" applyAlignment="1">
      <alignment horizontal="right" vertical="center"/>
    </xf>
    <xf numFmtId="0" fontId="10" fillId="4" borderId="17" xfId="0" applyFont="1" applyFill="1" applyBorder="1" applyAlignment="1">
      <alignment horizontal="right" vertical="center"/>
    </xf>
    <xf numFmtId="0" fontId="10" fillId="4" borderId="18" xfId="0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0" fillId="0" borderId="0" xfId="0"/>
    <xf numFmtId="0" fontId="1" fillId="0" borderId="12" xfId="0" applyFont="1" applyBorder="1"/>
    <xf numFmtId="0" fontId="5" fillId="0" borderId="3" xfId="0" quotePrefix="1" applyFont="1" applyBorder="1" applyAlignment="1" applyProtection="1">
      <alignment horizontal="right" vertical="center"/>
      <protection locked="0"/>
    </xf>
    <xf numFmtId="0" fontId="16" fillId="9" borderId="1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right" vertical="center"/>
      <protection locked="0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786847</xdr:colOff>
      <xdr:row>0</xdr:row>
      <xdr:rowOff>140804</xdr:rowOff>
    </xdr:from>
    <xdr:to>
      <xdr:col>5</xdr:col>
      <xdr:colOff>284458</xdr:colOff>
      <xdr:row>8</xdr:row>
      <xdr:rowOff>1242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498933" y="140804"/>
          <a:ext cx="1626242" cy="13749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795131</xdr:colOff>
      <xdr:row>0</xdr:row>
      <xdr:rowOff>132522</xdr:rowOff>
    </xdr:from>
    <xdr:to>
      <xdr:col>5</xdr:col>
      <xdr:colOff>292742</xdr:colOff>
      <xdr:row>7</xdr:row>
      <xdr:rowOff>173935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490649" y="132522"/>
          <a:ext cx="1626242" cy="13749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811696</xdr:colOff>
      <xdr:row>0</xdr:row>
      <xdr:rowOff>165652</xdr:rowOff>
    </xdr:from>
    <xdr:to>
      <xdr:col>5</xdr:col>
      <xdr:colOff>309307</xdr:colOff>
      <xdr:row>8</xdr:row>
      <xdr:rowOff>16565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474084" y="165652"/>
          <a:ext cx="1626242" cy="13749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811697</xdr:colOff>
      <xdr:row>0</xdr:row>
      <xdr:rowOff>173935</xdr:rowOff>
    </xdr:from>
    <xdr:to>
      <xdr:col>5</xdr:col>
      <xdr:colOff>309308</xdr:colOff>
      <xdr:row>8</xdr:row>
      <xdr:rowOff>24848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474083" y="173935"/>
          <a:ext cx="1626242" cy="13749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795131</xdr:colOff>
      <xdr:row>0</xdr:row>
      <xdr:rowOff>132521</xdr:rowOff>
    </xdr:from>
    <xdr:to>
      <xdr:col>5</xdr:col>
      <xdr:colOff>292742</xdr:colOff>
      <xdr:row>7</xdr:row>
      <xdr:rowOff>173934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490649" y="132521"/>
          <a:ext cx="1626242" cy="13749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778566</xdr:colOff>
      <xdr:row>0</xdr:row>
      <xdr:rowOff>165652</xdr:rowOff>
    </xdr:from>
    <xdr:to>
      <xdr:col>5</xdr:col>
      <xdr:colOff>276177</xdr:colOff>
      <xdr:row>8</xdr:row>
      <xdr:rowOff>16565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507214" y="165652"/>
          <a:ext cx="1626242" cy="13749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803413</xdr:colOff>
      <xdr:row>0</xdr:row>
      <xdr:rowOff>165652</xdr:rowOff>
    </xdr:from>
    <xdr:to>
      <xdr:col>5</xdr:col>
      <xdr:colOff>301024</xdr:colOff>
      <xdr:row>8</xdr:row>
      <xdr:rowOff>16565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482367" y="165652"/>
          <a:ext cx="1626242" cy="13749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811696</xdr:colOff>
      <xdr:row>0</xdr:row>
      <xdr:rowOff>149087</xdr:rowOff>
    </xdr:from>
    <xdr:to>
      <xdr:col>5</xdr:col>
      <xdr:colOff>309307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474084" y="149087"/>
          <a:ext cx="1626242" cy="13749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811696</xdr:colOff>
      <xdr:row>0</xdr:row>
      <xdr:rowOff>173935</xdr:rowOff>
    </xdr:from>
    <xdr:to>
      <xdr:col>5</xdr:col>
      <xdr:colOff>309307</xdr:colOff>
      <xdr:row>8</xdr:row>
      <xdr:rowOff>24848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474084" y="173935"/>
          <a:ext cx="1626242" cy="137491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795131</xdr:colOff>
      <xdr:row>0</xdr:row>
      <xdr:rowOff>165652</xdr:rowOff>
    </xdr:from>
    <xdr:to>
      <xdr:col>5</xdr:col>
      <xdr:colOff>292742</xdr:colOff>
      <xdr:row>8</xdr:row>
      <xdr:rowOff>16565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490649" y="165652"/>
          <a:ext cx="1626242" cy="137491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795131</xdr:colOff>
      <xdr:row>0</xdr:row>
      <xdr:rowOff>173935</xdr:rowOff>
    </xdr:from>
    <xdr:to>
      <xdr:col>5</xdr:col>
      <xdr:colOff>292742</xdr:colOff>
      <xdr:row>8</xdr:row>
      <xdr:rowOff>24848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490649" y="173935"/>
          <a:ext cx="1626242" cy="137491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795130</xdr:colOff>
      <xdr:row>0</xdr:row>
      <xdr:rowOff>173935</xdr:rowOff>
    </xdr:from>
    <xdr:to>
      <xdr:col>5</xdr:col>
      <xdr:colOff>292741</xdr:colOff>
      <xdr:row>8</xdr:row>
      <xdr:rowOff>24848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490650" y="173935"/>
          <a:ext cx="1626242" cy="137491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795131</xdr:colOff>
      <xdr:row>0</xdr:row>
      <xdr:rowOff>165652</xdr:rowOff>
    </xdr:from>
    <xdr:to>
      <xdr:col>5</xdr:col>
      <xdr:colOff>292742</xdr:colOff>
      <xdr:row>8</xdr:row>
      <xdr:rowOff>16565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6138888" y="165652"/>
          <a:ext cx="1626242" cy="1374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O472"/>
  <sheetViews>
    <sheetView showGridLines="0" rightToLeft="1" topLeftCell="A91" zoomScaleNormal="100" zoomScaleSheetLayoutView="100" workbookViewId="0">
      <selection activeCell="C297" sqref="C297:G297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2:10" s="45" customFormat="1" ht="18.75" customHeight="1" x14ac:dyDescent="0.2">
      <c r="B9" s="96" t="s">
        <v>132</v>
      </c>
      <c r="C9" s="96"/>
      <c r="D9" s="96"/>
      <c r="E9" s="96"/>
      <c r="F9" s="96"/>
      <c r="G9" s="96"/>
    </row>
    <row r="10" spans="2:10" s="45" customFormat="1" ht="18.75" customHeight="1" x14ac:dyDescent="0.2">
      <c r="B10" s="96" t="s">
        <v>133</v>
      </c>
      <c r="C10" s="96"/>
      <c r="D10" s="96"/>
      <c r="E10" s="96"/>
      <c r="F10" s="96"/>
      <c r="G10" s="96"/>
    </row>
    <row r="11" spans="2:10" s="45" customFormat="1" ht="18.75" customHeight="1" x14ac:dyDescent="0.2">
      <c r="B11" s="97"/>
      <c r="C11" s="97"/>
      <c r="D11" s="97"/>
      <c r="E11" s="97"/>
      <c r="F11" s="97"/>
      <c r="G11" s="97"/>
    </row>
    <row r="12" spans="2:10" s="45" customFormat="1" ht="18" customHeight="1" thickBot="1" x14ac:dyDescent="0.25"/>
    <row r="13" spans="2:10" s="1" customFormat="1" ht="34.5" customHeight="1" thickTop="1" thickBot="1" x14ac:dyDescent="0.35">
      <c r="B13" s="85" t="s">
        <v>154</v>
      </c>
      <c r="C13" s="86"/>
      <c r="D13" s="86"/>
      <c r="E13" s="86"/>
      <c r="F13" s="86"/>
      <c r="G13" s="87"/>
      <c r="H13" s="2"/>
      <c r="I13" s="2"/>
      <c r="J13" s="2"/>
    </row>
    <row r="14" spans="2:10" s="1" customFormat="1" ht="34.5" customHeight="1" thickTop="1" thickBot="1" x14ac:dyDescent="0.35">
      <c r="B14" s="90" t="s">
        <v>168</v>
      </c>
      <c r="C14" s="90"/>
      <c r="D14" s="91" t="s">
        <v>169</v>
      </c>
      <c r="E14" s="91"/>
      <c r="F14" s="91"/>
      <c r="G14" s="91"/>
      <c r="H14" s="2"/>
      <c r="I14" s="2"/>
      <c r="J14" s="2"/>
    </row>
    <row r="15" spans="2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2:10" s="5" customFormat="1" ht="21.75" thickTop="1" thickBot="1" x14ac:dyDescent="0.25">
      <c r="B16" s="88" t="s">
        <v>131</v>
      </c>
      <c r="C16" s="89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>
        <v>0</v>
      </c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>
        <v>0</v>
      </c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>
        <v>0</v>
      </c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>
        <v>0</v>
      </c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>
        <v>18</v>
      </c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>
        <v>0</v>
      </c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>
        <v>0</v>
      </c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18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67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 t="s">
        <v>171</v>
      </c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>
        <v>3</v>
      </c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>
        <v>1</v>
      </c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>
        <v>0</v>
      </c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>
        <v>0</v>
      </c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>
        <v>0</v>
      </c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>
        <v>0</v>
      </c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>
        <v>0</v>
      </c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>
        <v>0</v>
      </c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>
        <v>0</v>
      </c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>
        <v>0</v>
      </c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>
        <v>0</v>
      </c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>
        <v>0</v>
      </c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4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 t="s">
        <v>172</v>
      </c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 t="s">
        <v>173</v>
      </c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/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>
        <v>0</v>
      </c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>
        <v>0</v>
      </c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>
        <v>0</v>
      </c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>
        <v>0</v>
      </c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>
        <v>0</v>
      </c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>
        <v>0</v>
      </c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>
        <v>0</v>
      </c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>
        <v>0</v>
      </c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>
        <v>0</v>
      </c>
    </row>
    <row r="83" spans="2:14" s="5" customFormat="1" thickTop="1" thickBot="1" x14ac:dyDescent="0.25">
      <c r="B83" s="6">
        <v>10</v>
      </c>
      <c r="C83" s="6" t="s">
        <v>128</v>
      </c>
      <c r="D83" s="6" t="s">
        <v>28</v>
      </c>
      <c r="E83" s="60">
        <v>0</v>
      </c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>
        <v>0</v>
      </c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ht="16.5" customHeigh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</row>
    <row r="98" spans="2:14" s="5" customFormat="1" ht="19.5" customHeight="1" thickTop="1" thickBot="1" x14ac:dyDescent="0.25">
      <c r="B98" s="6">
        <v>11</v>
      </c>
      <c r="C98" s="67"/>
      <c r="D98" s="68"/>
      <c r="E98" s="68"/>
      <c r="F98" s="68"/>
      <c r="G98" s="69"/>
      <c r="H98" s="7"/>
      <c r="I98" s="7"/>
      <c r="J98" s="70"/>
      <c r="K98" s="70"/>
      <c r="L98" s="70"/>
      <c r="M98" s="70"/>
      <c r="N98" s="70"/>
    </row>
    <row r="99" spans="2:14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2.75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0">
        <v>119936</v>
      </c>
      <c r="F104" s="11">
        <f t="shared" ref="F104:F115" si="0">E104/1000</f>
        <v>119.93600000000001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0">
        <v>17822</v>
      </c>
      <c r="F105" s="11">
        <f t="shared" si="0"/>
        <v>17.821999999999999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0">
        <v>0</v>
      </c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0">
        <v>75658</v>
      </c>
      <c r="F107" s="11">
        <f t="shared" si="0"/>
        <v>75.658000000000001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0">
        <v>132148</v>
      </c>
      <c r="F108" s="11">
        <f t="shared" si="0"/>
        <v>132.148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0">
        <v>37380</v>
      </c>
      <c r="F109" s="11">
        <f t="shared" si="0"/>
        <v>37.380000000000003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0">
        <v>0</v>
      </c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0">
        <v>0</v>
      </c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0">
        <v>808196</v>
      </c>
      <c r="F112" s="11">
        <f t="shared" si="0"/>
        <v>808.19600000000003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0">
        <v>1</v>
      </c>
      <c r="F113" s="11">
        <f t="shared" si="0"/>
        <v>1E-3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0">
        <v>0</v>
      </c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0">
        <v>0</v>
      </c>
      <c r="F115" s="11">
        <f t="shared" si="0"/>
        <v>0</v>
      </c>
      <c r="G115" s="13"/>
    </row>
    <row r="116" spans="2:14" s="5" customFormat="1" thickTop="1" thickBot="1" x14ac:dyDescent="0.25">
      <c r="B116" s="84" t="s">
        <v>80</v>
      </c>
      <c r="C116" s="84"/>
      <c r="D116" s="84"/>
      <c r="E116" s="36">
        <f>SUM(E104:E115)</f>
        <v>1191141</v>
      </c>
      <c r="F116" s="37">
        <f>SUM(F104:F115)</f>
        <v>1191.1409999999998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 t="s">
        <v>174</v>
      </c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7" t="s">
        <v>175</v>
      </c>
      <c r="D120" s="68"/>
      <c r="E120" s="68"/>
      <c r="F120" s="68"/>
      <c r="G120" s="69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 t="s">
        <v>176</v>
      </c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 t="s">
        <v>177</v>
      </c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 t="s">
        <v>178</v>
      </c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ht="16.5" customHeight="1" thickTop="1" thickBot="1" x14ac:dyDescent="0.25">
      <c r="B127" s="6">
        <v>9</v>
      </c>
      <c r="C127" s="67" t="s">
        <v>179</v>
      </c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 t="s">
        <v>180</v>
      </c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</row>
    <row r="129" spans="2:14" s="5" customFormat="1" ht="16.5" customHeigh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ht="16.5" customHeight="1" thickTop="1" thickBot="1" x14ac:dyDescent="0.25">
      <c r="B130" s="6">
        <v>12</v>
      </c>
      <c r="C130" s="67"/>
      <c r="D130" s="68"/>
      <c r="E130" s="68"/>
      <c r="F130" s="68"/>
      <c r="G130" s="69"/>
      <c r="H130" s="7"/>
      <c r="I130" s="7"/>
      <c r="J130" s="70"/>
      <c r="K130" s="70"/>
      <c r="L130" s="70"/>
      <c r="M130" s="70"/>
      <c r="N130" s="70"/>
    </row>
    <row r="131" spans="2:14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0">
        <v>0</v>
      </c>
      <c r="F136" s="11">
        <f>E136/1000</f>
        <v>0</v>
      </c>
    </row>
    <row r="137" spans="2:14" s="5" customFormat="1" thickTop="1" thickBot="1" x14ac:dyDescent="0.25">
      <c r="B137" s="6">
        <v>2</v>
      </c>
      <c r="C137" s="6" t="s">
        <v>57</v>
      </c>
      <c r="D137" s="6" t="s">
        <v>3</v>
      </c>
      <c r="E137" s="60">
        <v>0</v>
      </c>
      <c r="F137" s="11">
        <f t="shared" ref="F137:F144" si="1"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0">
        <v>0</v>
      </c>
      <c r="F138" s="11">
        <f t="shared" si="1"/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0">
        <v>0</v>
      </c>
      <c r="F139" s="11">
        <f t="shared" si="1"/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0">
        <v>0</v>
      </c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0">
        <v>0</v>
      </c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0">
        <v>0</v>
      </c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0">
        <v>0</v>
      </c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0">
        <v>0</v>
      </c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>
        <v>0</v>
      </c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>
        <v>31000</v>
      </c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>
        <v>0</v>
      </c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>
        <v>0</v>
      </c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>
        <v>0</v>
      </c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 t="s">
        <v>180</v>
      </c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0">
        <v>29950</v>
      </c>
      <c r="F181" s="11">
        <f>E181/1000</f>
        <v>29.95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0">
        <v>0</v>
      </c>
      <c r="F182" s="11">
        <f t="shared" ref="F182:F190" si="3">E182/1000</f>
        <v>0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0">
        <v>0</v>
      </c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0">
        <v>1960</v>
      </c>
      <c r="F184" s="11">
        <f t="shared" si="3"/>
        <v>1.96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0">
        <v>38850</v>
      </c>
      <c r="F185" s="11">
        <f t="shared" si="3"/>
        <v>38.85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0">
        <v>7686</v>
      </c>
      <c r="F186" s="11">
        <f t="shared" si="3"/>
        <v>7.6859999999999999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0">
        <v>0</v>
      </c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0">
        <v>34800</v>
      </c>
      <c r="F188" s="11">
        <f t="shared" si="3"/>
        <v>34.799999999999997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0">
        <v>0</v>
      </c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0">
        <v>0</v>
      </c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113246</v>
      </c>
      <c r="F191" s="37">
        <f>SUM(F181:F190)</f>
        <v>113.246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>
        <v>0</v>
      </c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>
        <v>0</v>
      </c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 t="s">
        <v>180</v>
      </c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/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 t="s">
        <v>184</v>
      </c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 t="s">
        <v>181</v>
      </c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 t="s">
        <v>182</v>
      </c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 t="s">
        <v>183</v>
      </c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thickTop="1" thickBot="1" x14ac:dyDescent="0.25">
      <c r="B215" s="6">
        <v>1</v>
      </c>
      <c r="C215" s="6" t="s">
        <v>20</v>
      </c>
      <c r="D215" s="6" t="s">
        <v>62</v>
      </c>
      <c r="E215" s="60">
        <v>2419500</v>
      </c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0">
        <v>16327</v>
      </c>
      <c r="F217" s="11">
        <f t="shared" ref="F217:F223" si="4">E217/1000</f>
        <v>16.327000000000002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0">
        <v>0</v>
      </c>
      <c r="F218" s="11">
        <f t="shared" si="4"/>
        <v>0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0">
        <v>0</v>
      </c>
      <c r="F219" s="11">
        <f t="shared" si="4"/>
        <v>0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0">
        <v>0</v>
      </c>
      <c r="F220" s="11">
        <f t="shared" si="4"/>
        <v>0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0">
        <v>0</v>
      </c>
      <c r="F221" s="11">
        <f t="shared" si="4"/>
        <v>0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0">
        <v>0</v>
      </c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0">
        <v>15654</v>
      </c>
      <c r="F223" s="11">
        <f t="shared" si="4"/>
        <v>15.654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31981</v>
      </c>
      <c r="F224" s="43">
        <f>SUM(F217:F223)</f>
        <v>31.981000000000002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 t="s">
        <v>185</v>
      </c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/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 t="s">
        <v>186</v>
      </c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/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/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/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 t="s">
        <v>187</v>
      </c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88" t="s">
        <v>39</v>
      </c>
      <c r="C238" s="89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>
        <v>0</v>
      </c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>
        <v>0</v>
      </c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>
        <v>0</v>
      </c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>
        <v>0</v>
      </c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>
        <v>0</v>
      </c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>
        <v>0</v>
      </c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>
        <v>0</v>
      </c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>
        <v>0</v>
      </c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>
        <v>0</v>
      </c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>
        <v>0</v>
      </c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>
        <v>0</v>
      </c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>
        <v>0</v>
      </c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>
        <v>0</v>
      </c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>
        <v>0</v>
      </c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>
        <v>0</v>
      </c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>
        <v>0</v>
      </c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>
        <v>0</v>
      </c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>
        <v>0</v>
      </c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>
        <v>0</v>
      </c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>
        <v>0</v>
      </c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>
        <v>0</v>
      </c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>
        <v>0</v>
      </c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>
        <v>0</v>
      </c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>
        <v>0</v>
      </c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>
        <v>0</v>
      </c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>
        <v>0</v>
      </c>
    </row>
    <row r="268" spans="2:14" s="5" customFormat="1" thickTop="1" thickBot="1" x14ac:dyDescent="0.25">
      <c r="B268" s="6">
        <v>27</v>
      </c>
      <c r="C268" s="6" t="s">
        <v>126</v>
      </c>
      <c r="D268" s="6" t="s">
        <v>28</v>
      </c>
      <c r="E268" s="60">
        <v>0</v>
      </c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>
        <v>0</v>
      </c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30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3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>
      <c r="B303" s="31"/>
    </row>
    <row r="304" spans="2:14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>
        <v>0</v>
      </c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>
        <v>0</v>
      </c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>
        <v>0</v>
      </c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>
        <v>0</v>
      </c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>
        <v>0</v>
      </c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>
        <v>0</v>
      </c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>
        <v>0</v>
      </c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>
        <v>0</v>
      </c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>
        <v>0</v>
      </c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>
        <v>0</v>
      </c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>
        <v>0</v>
      </c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>
        <v>0</v>
      </c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>
        <v>0</v>
      </c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>
        <v>0</v>
      </c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>
        <v>0</v>
      </c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>
        <v>0</v>
      </c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>
        <v>0</v>
      </c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>
        <v>0</v>
      </c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>
        <v>0</v>
      </c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>
        <v>0</v>
      </c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>
        <v>0</v>
      </c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>
        <v>0</v>
      </c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>
        <v>0</v>
      </c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>
        <v>0</v>
      </c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>
        <v>0</v>
      </c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>
        <v>0</v>
      </c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>
        <v>0</v>
      </c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>
        <v>0</v>
      </c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123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>
        <v>0</v>
      </c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>
        <v>0</v>
      </c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>
        <v>0</v>
      </c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>
        <v>0</v>
      </c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>
        <v>0</v>
      </c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>
        <v>0</v>
      </c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>
        <v>0</v>
      </c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>
        <v>0</v>
      </c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>
        <v>0</v>
      </c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>
        <v>0</v>
      </c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>
        <v>0</v>
      </c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>
        <v>0</v>
      </c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>
        <v>0</v>
      </c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124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>
        <v>0</v>
      </c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>
        <v>0</v>
      </c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>
        <v>0</v>
      </c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>
        <v>0</v>
      </c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>
        <v>0</v>
      </c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>
        <v>0</v>
      </c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>
        <v>0</v>
      </c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>
        <v>0</v>
      </c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92" t="s">
        <v>130</v>
      </c>
      <c r="C428" s="9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94"/>
      <c r="C429" s="9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2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/>
      <c r="D432" s="62"/>
      <c r="E432" s="60"/>
      <c r="F432" s="59"/>
      <c r="G432" s="59"/>
      <c r="H432" s="59"/>
      <c r="I432" s="2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/>
      <c r="D433" s="59"/>
      <c r="E433" s="60"/>
      <c r="F433" s="59"/>
      <c r="G433" s="59"/>
      <c r="H433" s="59"/>
      <c r="I433" s="2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/>
      <c r="D434" s="59"/>
      <c r="E434" s="60"/>
      <c r="F434" s="59"/>
      <c r="G434" s="59"/>
      <c r="H434" s="59"/>
      <c r="I434" s="2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2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2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2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2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2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2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27"/>
      <c r="J441" s="27"/>
      <c r="K441" s="27"/>
      <c r="L441" s="27"/>
      <c r="M441" s="27"/>
    </row>
    <row r="442" spans="2:13" s="5" customFormat="1" thickTop="1" thickBo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92" t="s">
        <v>152</v>
      </c>
      <c r="C443" s="9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94"/>
      <c r="C444" s="9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2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/>
      <c r="D447" s="59"/>
      <c r="E447" s="60"/>
      <c r="F447" s="59"/>
      <c r="G447" s="59"/>
      <c r="H447" s="59"/>
      <c r="I447" s="2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/>
      <c r="D448" s="59"/>
      <c r="E448" s="60"/>
      <c r="F448" s="59"/>
      <c r="G448" s="59"/>
      <c r="H448" s="59"/>
      <c r="I448" s="2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2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2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2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2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2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2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2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27"/>
      <c r="J456" s="27"/>
      <c r="K456" s="27"/>
      <c r="L456" s="27"/>
      <c r="M456" s="27"/>
    </row>
    <row r="457" spans="2:13" s="5" customFormat="1" thickTop="1" thickBot="1" x14ac:dyDescent="0.25"/>
    <row r="458" spans="2:13" s="5" customFormat="1" ht="13.5" thickTop="1" x14ac:dyDescent="0.2">
      <c r="B458" s="92" t="s">
        <v>153</v>
      </c>
      <c r="C458" s="93"/>
    </row>
    <row r="459" spans="2:13" s="5" customFormat="1" ht="13.5" thickBot="1" x14ac:dyDescent="0.25">
      <c r="B459" s="94"/>
      <c r="C459" s="95"/>
    </row>
    <row r="460" spans="2:13" s="5" customFormat="1" thickTop="1" thickBot="1" x14ac:dyDescent="0.25"/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2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2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2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2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2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2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2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2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2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/>
  </sheetData>
  <sheetProtection algorithmName="SHA-512" hashValue="FG51Uk81wbphA61fzG4VKPmp3/guYDghxV4sOp/UigVBs0SRDXCQF2XOGGWofS4GD0AbYb+TZwv3I7KsLTEhBA==" saltValue="eGTXKcCGFodCU2MdzCICiA==" spinCount="100000" sheet="1" objects="1" scenarios="1" selectLockedCells="1"/>
  <mergeCells count="338">
    <mergeCell ref="B428:C429"/>
    <mergeCell ref="B443:C444"/>
    <mergeCell ref="B458:C459"/>
    <mergeCell ref="B9:G9"/>
    <mergeCell ref="B10:G10"/>
    <mergeCell ref="B11:G11"/>
    <mergeCell ref="C343:G343"/>
    <mergeCell ref="C147:G147"/>
    <mergeCell ref="C152:G152"/>
    <mergeCell ref="C172:G172"/>
    <mergeCell ref="C196:G196"/>
    <mergeCell ref="C201:G201"/>
    <mergeCell ref="C206:G206"/>
    <mergeCell ref="C228:G228"/>
    <mergeCell ref="C233:G233"/>
    <mergeCell ref="C289:G289"/>
    <mergeCell ref="C294:G294"/>
    <mergeCell ref="B304:F304"/>
    <mergeCell ref="C337:G337"/>
    <mergeCell ref="C346:G346"/>
    <mergeCell ref="C351:G351"/>
    <mergeCell ref="C287:G287"/>
    <mergeCell ref="C156:G156"/>
    <mergeCell ref="C356:G356"/>
    <mergeCell ref="J287:N287"/>
    <mergeCell ref="C288:G288"/>
    <mergeCell ref="J288:N288"/>
    <mergeCell ref="B145:D145"/>
    <mergeCell ref="B168:D168"/>
    <mergeCell ref="B224:D224"/>
    <mergeCell ref="C282:G282"/>
    <mergeCell ref="J282:N282"/>
    <mergeCell ref="C283:G283"/>
    <mergeCell ref="J283:N283"/>
    <mergeCell ref="C284:G284"/>
    <mergeCell ref="J284:N284"/>
    <mergeCell ref="C285:G285"/>
    <mergeCell ref="J285:N285"/>
    <mergeCell ref="C286:G286"/>
    <mergeCell ref="J286:N286"/>
    <mergeCell ref="J147:N147"/>
    <mergeCell ref="C148:G148"/>
    <mergeCell ref="J148:N148"/>
    <mergeCell ref="C149:G149"/>
    <mergeCell ref="J149:N149"/>
    <mergeCell ref="C150:G150"/>
    <mergeCell ref="J150:N150"/>
    <mergeCell ref="C151:G151"/>
    <mergeCell ref="C58:G58"/>
    <mergeCell ref="J58:N58"/>
    <mergeCell ref="B238:C238"/>
    <mergeCell ref="B240:E240"/>
    <mergeCell ref="C170:G170"/>
    <mergeCell ref="J170:N170"/>
    <mergeCell ref="C171:G171"/>
    <mergeCell ref="J171:N171"/>
    <mergeCell ref="C59:G59"/>
    <mergeCell ref="J59:N59"/>
    <mergeCell ref="C60:G60"/>
    <mergeCell ref="J60:N60"/>
    <mergeCell ref="C61:G61"/>
    <mergeCell ref="J61:N61"/>
    <mergeCell ref="C62:G62"/>
    <mergeCell ref="J62:N62"/>
    <mergeCell ref="C63:G63"/>
    <mergeCell ref="J63:N63"/>
    <mergeCell ref="C64:G64"/>
    <mergeCell ref="J64:N64"/>
    <mergeCell ref="C65:G65"/>
    <mergeCell ref="J65:N65"/>
    <mergeCell ref="C68:G68"/>
    <mergeCell ref="J68:N68"/>
    <mergeCell ref="C34:G34"/>
    <mergeCell ref="C35:G35"/>
    <mergeCell ref="C36:G36"/>
    <mergeCell ref="B40:E40"/>
    <mergeCell ref="B54:D54"/>
    <mergeCell ref="C56:G56"/>
    <mergeCell ref="J56:N56"/>
    <mergeCell ref="C57:G57"/>
    <mergeCell ref="J57:N57"/>
    <mergeCell ref="B13:G13"/>
    <mergeCell ref="B16:C16"/>
    <mergeCell ref="B18:E18"/>
    <mergeCell ref="B27:D27"/>
    <mergeCell ref="C29:G29"/>
    <mergeCell ref="C30:G30"/>
    <mergeCell ref="C31:G31"/>
    <mergeCell ref="C32:G32"/>
    <mergeCell ref="C33:G33"/>
    <mergeCell ref="B14:C14"/>
    <mergeCell ref="D14:G14"/>
    <mergeCell ref="B72:E72"/>
    <mergeCell ref="B85:D85"/>
    <mergeCell ref="C87:G87"/>
    <mergeCell ref="J87:N87"/>
    <mergeCell ref="C88:G88"/>
    <mergeCell ref="J88:N88"/>
    <mergeCell ref="C89:G89"/>
    <mergeCell ref="J89:N89"/>
    <mergeCell ref="C66:G66"/>
    <mergeCell ref="C67:G67"/>
    <mergeCell ref="C90:G90"/>
    <mergeCell ref="J90:N90"/>
    <mergeCell ref="C91:G91"/>
    <mergeCell ref="J91:N91"/>
    <mergeCell ref="C92:G92"/>
    <mergeCell ref="J92:N92"/>
    <mergeCell ref="C93:G93"/>
    <mergeCell ref="J93:N93"/>
    <mergeCell ref="C94:G94"/>
    <mergeCell ref="J94:N94"/>
    <mergeCell ref="C95:G95"/>
    <mergeCell ref="J95:N95"/>
    <mergeCell ref="C96:G96"/>
    <mergeCell ref="J96:N96"/>
    <mergeCell ref="C98:G98"/>
    <mergeCell ref="J98:N98"/>
    <mergeCell ref="B102:F102"/>
    <mergeCell ref="B116:D116"/>
    <mergeCell ref="C118:G118"/>
    <mergeCell ref="J118:N118"/>
    <mergeCell ref="C97:G97"/>
    <mergeCell ref="C119:G119"/>
    <mergeCell ref="J119:N119"/>
    <mergeCell ref="C120:G120"/>
    <mergeCell ref="J120:N120"/>
    <mergeCell ref="C121:G121"/>
    <mergeCell ref="J121:N121"/>
    <mergeCell ref="C122:G122"/>
    <mergeCell ref="J122:N122"/>
    <mergeCell ref="C123:G123"/>
    <mergeCell ref="J123:N123"/>
    <mergeCell ref="C124:G124"/>
    <mergeCell ref="J124:N124"/>
    <mergeCell ref="C125:G125"/>
    <mergeCell ref="J125:N125"/>
    <mergeCell ref="C126:G126"/>
    <mergeCell ref="J126:N126"/>
    <mergeCell ref="C130:G130"/>
    <mergeCell ref="J130:N130"/>
    <mergeCell ref="B134:F134"/>
    <mergeCell ref="C127:G127"/>
    <mergeCell ref="C128:G128"/>
    <mergeCell ref="C129:G129"/>
    <mergeCell ref="J151:N151"/>
    <mergeCell ref="J152:N152"/>
    <mergeCell ref="C153:G153"/>
    <mergeCell ref="J153:N153"/>
    <mergeCell ref="C154:G154"/>
    <mergeCell ref="J154:N154"/>
    <mergeCell ref="C155:G155"/>
    <mergeCell ref="J155:N155"/>
    <mergeCell ref="J156:N156"/>
    <mergeCell ref="J172:N172"/>
    <mergeCell ref="C173:G173"/>
    <mergeCell ref="J173:N173"/>
    <mergeCell ref="C174:G174"/>
    <mergeCell ref="J174:N174"/>
    <mergeCell ref="C175:G175"/>
    <mergeCell ref="J175:N175"/>
    <mergeCell ref="B179:F179"/>
    <mergeCell ref="B160:F160"/>
    <mergeCell ref="B164:F164"/>
    <mergeCell ref="J196:N196"/>
    <mergeCell ref="C197:G197"/>
    <mergeCell ref="J197:N197"/>
    <mergeCell ref="C198:G198"/>
    <mergeCell ref="J198:N198"/>
    <mergeCell ref="C199:G199"/>
    <mergeCell ref="J199:N199"/>
    <mergeCell ref="C200:G200"/>
    <mergeCell ref="J200:N200"/>
    <mergeCell ref="J201:N201"/>
    <mergeCell ref="C202:G202"/>
    <mergeCell ref="J202:N202"/>
    <mergeCell ref="C203:G203"/>
    <mergeCell ref="J203:N203"/>
    <mergeCell ref="C204:G204"/>
    <mergeCell ref="J204:N204"/>
    <mergeCell ref="C205:G205"/>
    <mergeCell ref="J205:N205"/>
    <mergeCell ref="J206:N206"/>
    <mergeCell ref="C207:G207"/>
    <mergeCell ref="J207:N207"/>
    <mergeCell ref="C209:G209"/>
    <mergeCell ref="J209:N209"/>
    <mergeCell ref="B213:F213"/>
    <mergeCell ref="C226:G226"/>
    <mergeCell ref="J226:N226"/>
    <mergeCell ref="C227:G227"/>
    <mergeCell ref="J227:N227"/>
    <mergeCell ref="B216:F216"/>
    <mergeCell ref="J228:N228"/>
    <mergeCell ref="C229:G229"/>
    <mergeCell ref="J229:N229"/>
    <mergeCell ref="C230:G230"/>
    <mergeCell ref="J230:N230"/>
    <mergeCell ref="C231:G231"/>
    <mergeCell ref="J231:N231"/>
    <mergeCell ref="C232:G232"/>
    <mergeCell ref="J232:N232"/>
    <mergeCell ref="J233:N233"/>
    <mergeCell ref="C234:G234"/>
    <mergeCell ref="J234:N234"/>
    <mergeCell ref="J278:N278"/>
    <mergeCell ref="C279:G279"/>
    <mergeCell ref="J279:N279"/>
    <mergeCell ref="C280:G280"/>
    <mergeCell ref="J280:N280"/>
    <mergeCell ref="C281:G281"/>
    <mergeCell ref="J281:N281"/>
    <mergeCell ref="C272:G272"/>
    <mergeCell ref="J272:N272"/>
    <mergeCell ref="C273:G273"/>
    <mergeCell ref="J273:N273"/>
    <mergeCell ref="C274:G274"/>
    <mergeCell ref="J274:N274"/>
    <mergeCell ref="C275:G275"/>
    <mergeCell ref="J275:N275"/>
    <mergeCell ref="C276:G276"/>
    <mergeCell ref="J276:N276"/>
    <mergeCell ref="C277:G277"/>
    <mergeCell ref="J277:N277"/>
    <mergeCell ref="C278:G278"/>
    <mergeCell ref="B270:D270"/>
    <mergeCell ref="J289:N289"/>
    <mergeCell ref="C290:G290"/>
    <mergeCell ref="J290:N290"/>
    <mergeCell ref="C291:G291"/>
    <mergeCell ref="J291:N291"/>
    <mergeCell ref="C292:G292"/>
    <mergeCell ref="J292:N292"/>
    <mergeCell ref="C293:G293"/>
    <mergeCell ref="J293:N293"/>
    <mergeCell ref="J294:N294"/>
    <mergeCell ref="C295:G295"/>
    <mergeCell ref="J295:N295"/>
    <mergeCell ref="C296:G296"/>
    <mergeCell ref="J296:N296"/>
    <mergeCell ref="C297:G297"/>
    <mergeCell ref="J297:N297"/>
    <mergeCell ref="C298:G298"/>
    <mergeCell ref="C299:G299"/>
    <mergeCell ref="J337:N337"/>
    <mergeCell ref="C338:G338"/>
    <mergeCell ref="J338:N338"/>
    <mergeCell ref="C339:G339"/>
    <mergeCell ref="J339:N339"/>
    <mergeCell ref="C344:G344"/>
    <mergeCell ref="J344:N344"/>
    <mergeCell ref="C345:G345"/>
    <mergeCell ref="J345:N345"/>
    <mergeCell ref="J343:N343"/>
    <mergeCell ref="C340:G340"/>
    <mergeCell ref="J340:N340"/>
    <mergeCell ref="C341:G341"/>
    <mergeCell ref="J341:N341"/>
    <mergeCell ref="C342:G342"/>
    <mergeCell ref="J342:N342"/>
    <mergeCell ref="J346:N346"/>
    <mergeCell ref="C347:G347"/>
    <mergeCell ref="J347:N347"/>
    <mergeCell ref="C348:G348"/>
    <mergeCell ref="J348:N348"/>
    <mergeCell ref="C349:G349"/>
    <mergeCell ref="J349:N349"/>
    <mergeCell ref="C350:G350"/>
    <mergeCell ref="J350:N350"/>
    <mergeCell ref="J351:N351"/>
    <mergeCell ref="C352:G352"/>
    <mergeCell ref="J352:N352"/>
    <mergeCell ref="C353:G353"/>
    <mergeCell ref="J353:N353"/>
    <mergeCell ref="C354:G354"/>
    <mergeCell ref="J354:N354"/>
    <mergeCell ref="C355:G355"/>
    <mergeCell ref="J355:N355"/>
    <mergeCell ref="J356:N356"/>
    <mergeCell ref="C357:G357"/>
    <mergeCell ref="J357:N357"/>
    <mergeCell ref="C358:G358"/>
    <mergeCell ref="J358:N358"/>
    <mergeCell ref="C359:G359"/>
    <mergeCell ref="J359:N359"/>
    <mergeCell ref="C360:G360"/>
    <mergeCell ref="J360:N360"/>
    <mergeCell ref="J361:N361"/>
    <mergeCell ref="C362:G362"/>
    <mergeCell ref="J362:N362"/>
    <mergeCell ref="C365:G365"/>
    <mergeCell ref="J365:N365"/>
    <mergeCell ref="B369:F369"/>
    <mergeCell ref="C387:G387"/>
    <mergeCell ref="C389:G389"/>
    <mergeCell ref="C388:G388"/>
    <mergeCell ref="C361:G361"/>
    <mergeCell ref="B333:F333"/>
    <mergeCell ref="B332:D332"/>
    <mergeCell ref="B191:D191"/>
    <mergeCell ref="B192:F192"/>
    <mergeCell ref="C208:G208"/>
    <mergeCell ref="B382:D382"/>
    <mergeCell ref="B383:F383"/>
    <mergeCell ref="B403:F403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300:G300"/>
    <mergeCell ref="C390:G390"/>
    <mergeCell ref="C391:G391"/>
    <mergeCell ref="C422:G422"/>
    <mergeCell ref="J422:N422"/>
    <mergeCell ref="C423:G423"/>
    <mergeCell ref="J423:N423"/>
    <mergeCell ref="C424:G424"/>
    <mergeCell ref="J424:N424"/>
    <mergeCell ref="C363:G363"/>
    <mergeCell ref="C364:G364"/>
    <mergeCell ref="J416:N416"/>
    <mergeCell ref="C417:G417"/>
    <mergeCell ref="J417:N417"/>
    <mergeCell ref="C418:G418"/>
    <mergeCell ref="J418:N418"/>
    <mergeCell ref="C419:G419"/>
    <mergeCell ref="J419:N419"/>
    <mergeCell ref="C420:G420"/>
    <mergeCell ref="J420:N420"/>
    <mergeCell ref="B406:F406"/>
    <mergeCell ref="B414:D414"/>
    <mergeCell ref="C416:G416"/>
    <mergeCell ref="C421:G421"/>
    <mergeCell ref="J421:N421"/>
  </mergeCells>
  <dataValidations count="1">
    <dataValidation type="decimal" operator="greaterThanOrEqual" allowBlank="1" showInputMessage="1" showErrorMessage="1" error="يسمح بإدخال أرقام فقط." sqref="E20:E26 E42:E53 E74:E84 E104:E115 E136:E144 E162:E163 E165:E167 E181:E190 E193:E194 E215 E217:E223 E242:E269 E306:E331 E334:E335 E371:E381 E384:E385 E405 E407:E413 E432:E441 E447:E456" xr:uid="{00000000-0002-0000-00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O472"/>
  <sheetViews>
    <sheetView showGridLines="0" rightToLeft="1" topLeftCell="A28" zoomScaleNormal="100" zoomScaleSheetLayoutView="100" workbookViewId="0">
      <selection activeCell="E108" sqref="E108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1:10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0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0" x14ac:dyDescent="0.2">
      <c r="B11" s="107"/>
      <c r="C11" s="107"/>
      <c r="D11" s="107"/>
      <c r="E11" s="107"/>
      <c r="F11" s="107"/>
      <c r="G11" s="107"/>
    </row>
    <row r="12" spans="1:10" s="1" customFormat="1" ht="15.75" thickBot="1" x14ac:dyDescent="0.35">
      <c r="B12" s="108"/>
      <c r="C12" s="108"/>
      <c r="D12" s="108"/>
      <c r="E12" s="108"/>
      <c r="F12" s="108"/>
      <c r="G12" s="108"/>
    </row>
    <row r="13" spans="1:10" s="1" customFormat="1" ht="34.5" customHeight="1" thickTop="1" thickBot="1" x14ac:dyDescent="0.35">
      <c r="B13" s="85" t="s">
        <v>155</v>
      </c>
      <c r="C13" s="86"/>
      <c r="D13" s="86"/>
      <c r="E13" s="86"/>
      <c r="F13" s="86"/>
      <c r="G13" s="87"/>
      <c r="H13" s="2"/>
      <c r="I13" s="2"/>
      <c r="J13" s="2"/>
    </row>
    <row r="14" spans="1:10" s="1" customFormat="1" ht="34.5" customHeight="1" thickTop="1" thickBot="1" x14ac:dyDescent="0.4">
      <c r="B14" s="99" t="s">
        <v>167</v>
      </c>
      <c r="C14" s="99"/>
      <c r="D14" s="99" t="str">
        <f>يناير!D14</f>
        <v>الوجاجه</v>
      </c>
      <c r="E14" s="99"/>
      <c r="F14" s="99"/>
      <c r="G14" s="99"/>
      <c r="H14" s="2"/>
      <c r="I14" s="2"/>
      <c r="J14" s="2"/>
    </row>
    <row r="15" spans="1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1:10" s="5" customFormat="1" ht="21.75" thickTop="1" thickBot="1" x14ac:dyDescent="0.25">
      <c r="B16" s="100" t="s">
        <v>131</v>
      </c>
      <c r="C16" s="101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/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/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/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/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>
        <v>24</v>
      </c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/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/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24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109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 t="s">
        <v>188</v>
      </c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/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>
        <v>1</v>
      </c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/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/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/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/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/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/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/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/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/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/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1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/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 t="s">
        <v>180</v>
      </c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/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/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/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/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/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/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/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/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/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/>
    </row>
    <row r="83" spans="2:14" s="5" customFormat="1" thickTop="1" thickBot="1" x14ac:dyDescent="0.25">
      <c r="B83" s="6">
        <v>10</v>
      </c>
      <c r="C83" s="6" t="s">
        <v>125</v>
      </c>
      <c r="D83" s="6" t="s">
        <v>28</v>
      </c>
      <c r="E83" s="60"/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/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ht="16.5" customHeigh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</row>
    <row r="98" spans="2:14" s="5" customFormat="1" ht="19.5" customHeight="1" thickTop="1" thickBot="1" x14ac:dyDescent="0.25">
      <c r="B98" s="6">
        <v>11</v>
      </c>
      <c r="C98" s="67"/>
      <c r="D98" s="68"/>
      <c r="E98" s="68"/>
      <c r="F98" s="68"/>
      <c r="G98" s="69"/>
      <c r="H98" s="7"/>
      <c r="I98" s="7"/>
      <c r="J98" s="70"/>
      <c r="K98" s="70"/>
      <c r="L98" s="70"/>
      <c r="M98" s="70"/>
      <c r="N98" s="70"/>
    </row>
    <row r="99" spans="2:14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2.75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0">
        <v>160637.79999999999</v>
      </c>
      <c r="F104" s="11">
        <f t="shared" ref="F104:F115" si="0">E104/1000</f>
        <v>160.6378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0">
        <v>27606</v>
      </c>
      <c r="F105" s="11">
        <f t="shared" si="0"/>
        <v>27.606000000000002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0"/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0">
        <v>44661</v>
      </c>
      <c r="F107" s="11">
        <f t="shared" si="0"/>
        <v>44.661000000000001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0">
        <v>96625</v>
      </c>
      <c r="F108" s="11">
        <f t="shared" si="0"/>
        <v>96.625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0">
        <v>2766</v>
      </c>
      <c r="F109" s="11">
        <f t="shared" si="0"/>
        <v>2.766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0"/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0"/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0">
        <v>433760</v>
      </c>
      <c r="F112" s="11">
        <f t="shared" si="0"/>
        <v>433.76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0">
        <v>113</v>
      </c>
      <c r="F113" s="11">
        <f t="shared" si="0"/>
        <v>0.113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0"/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0"/>
      <c r="F115" s="11">
        <f t="shared" si="0"/>
        <v>0</v>
      </c>
      <c r="G115" s="13"/>
    </row>
    <row r="116" spans="2:14" s="5" customFormat="1" thickTop="1" thickBot="1" x14ac:dyDescent="0.25">
      <c r="B116" s="84" t="s">
        <v>80</v>
      </c>
      <c r="C116" s="84"/>
      <c r="D116" s="84"/>
      <c r="E116" s="36">
        <f>SUM(E104:E115)</f>
        <v>766168.8</v>
      </c>
      <c r="F116" s="37">
        <f>SUM(F104:F115)</f>
        <v>766.16880000000015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/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3"/>
      <c r="D120" s="63"/>
      <c r="E120" s="63"/>
      <c r="F120" s="63"/>
      <c r="G120" s="63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/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/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/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ht="16.5" customHeight="1" thickTop="1" thickBot="1" x14ac:dyDescent="0.25">
      <c r="B127" s="6">
        <v>9</v>
      </c>
      <c r="C127" s="67"/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/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</row>
    <row r="129" spans="2:14" s="5" customFormat="1" ht="16.5" customHeigh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ht="16.5" customHeight="1" thickTop="1" thickBot="1" x14ac:dyDescent="0.25">
      <c r="B130" s="6">
        <v>12</v>
      </c>
      <c r="C130" s="67"/>
      <c r="D130" s="68"/>
      <c r="E130" s="68"/>
      <c r="F130" s="68"/>
      <c r="G130" s="69"/>
      <c r="H130" s="7"/>
      <c r="I130" s="7"/>
      <c r="J130" s="70"/>
      <c r="K130" s="70"/>
      <c r="L130" s="70"/>
      <c r="M130" s="70"/>
      <c r="N130" s="70"/>
    </row>
    <row r="131" spans="2:14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0"/>
      <c r="F136" s="11">
        <f>E136/1000</f>
        <v>0</v>
      </c>
    </row>
    <row r="137" spans="2:14" s="5" customFormat="1" thickTop="1" thickBot="1" x14ac:dyDescent="0.25">
      <c r="B137" s="6">
        <v>2</v>
      </c>
      <c r="C137" s="6" t="s">
        <v>57</v>
      </c>
      <c r="D137" s="6" t="s">
        <v>3</v>
      </c>
      <c r="E137" s="60"/>
      <c r="F137" s="11">
        <f t="shared" ref="F137:F144" si="1"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0"/>
      <c r="F138" s="11">
        <f t="shared" si="1"/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0"/>
      <c r="F139" s="11">
        <f t="shared" si="1"/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0"/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0"/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0"/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0"/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0"/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/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>
        <v>10800</v>
      </c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/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/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/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 t="s">
        <v>180</v>
      </c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0">
        <v>28550</v>
      </c>
      <c r="F181" s="11">
        <f>E181/1000</f>
        <v>28.55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0"/>
      <c r="F182" s="11">
        <f t="shared" ref="F182:F190" si="3">E182/1000</f>
        <v>0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0"/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0"/>
      <c r="F184" s="11">
        <f t="shared" si="3"/>
        <v>0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0">
        <v>65895</v>
      </c>
      <c r="F185" s="11">
        <f t="shared" si="3"/>
        <v>65.894999999999996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0">
        <v>1650</v>
      </c>
      <c r="F186" s="11">
        <f t="shared" si="3"/>
        <v>1.65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0"/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0"/>
      <c r="F188" s="11">
        <f t="shared" si="3"/>
        <v>0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0"/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0"/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96095</v>
      </c>
      <c r="F191" s="37">
        <f>SUM(F181:F190)</f>
        <v>96.094999999999999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/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/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 t="s">
        <v>180</v>
      </c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/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/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 t="s">
        <v>190</v>
      </c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 t="s">
        <v>189</v>
      </c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/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ht="17.25" thickTop="1" thickBot="1" x14ac:dyDescent="0.3">
      <c r="B215" s="6">
        <v>1</v>
      </c>
      <c r="C215" s="6" t="s">
        <v>20</v>
      </c>
      <c r="D215" s="6" t="s">
        <v>62</v>
      </c>
      <c r="E215" s="66">
        <v>1601000</v>
      </c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0">
        <v>11972</v>
      </c>
      <c r="F217" s="11">
        <f t="shared" ref="F217:F223" si="4">E217/1000</f>
        <v>11.972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0">
        <v>26068</v>
      </c>
      <c r="F218" s="11">
        <f t="shared" si="4"/>
        <v>26.068000000000001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0">
        <v>48</v>
      </c>
      <c r="F219" s="11">
        <f t="shared" si="4"/>
        <v>4.8000000000000001E-2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0"/>
      <c r="F220" s="11">
        <f t="shared" si="4"/>
        <v>0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0">
        <v>2065</v>
      </c>
      <c r="F221" s="11">
        <f t="shared" si="4"/>
        <v>2.0649999999999999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0"/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0">
        <v>28466</v>
      </c>
      <c r="F223" s="11">
        <f t="shared" si="4"/>
        <v>28.466000000000001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68619</v>
      </c>
      <c r="F224" s="43">
        <f>SUM(F217:F223)</f>
        <v>68.619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 t="s">
        <v>192</v>
      </c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 t="s">
        <v>191</v>
      </c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 t="s">
        <v>193</v>
      </c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 t="s">
        <v>194</v>
      </c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/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 t="s">
        <v>196</v>
      </c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 t="s">
        <v>195</v>
      </c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/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/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/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/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/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/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/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/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/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/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/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/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/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/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/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/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/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/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/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/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/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/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/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/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/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/>
    </row>
    <row r="268" spans="2:14" s="5" customFormat="1" thickTop="1" thickBot="1" x14ac:dyDescent="0.25">
      <c r="B268" s="6">
        <v>27</v>
      </c>
      <c r="C268" s="6" t="s">
        <v>126</v>
      </c>
      <c r="D268" s="6" t="s">
        <v>28</v>
      </c>
      <c r="E268" s="60"/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/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30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3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>
      <c r="B303" s="31"/>
    </row>
    <row r="304" spans="2:14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/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/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/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/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/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/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/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/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/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/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/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/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/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/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/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/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/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/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/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/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/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/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/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/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/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/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/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/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124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/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/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/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/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/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/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/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/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/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/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/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/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/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123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/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/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/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/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/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/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/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/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2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/>
      <c r="D432" s="62"/>
      <c r="E432" s="60"/>
      <c r="F432" s="59"/>
      <c r="G432" s="59"/>
      <c r="H432" s="59"/>
      <c r="I432" s="2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/>
      <c r="D433" s="59"/>
      <c r="E433" s="60"/>
      <c r="F433" s="59"/>
      <c r="G433" s="59"/>
      <c r="H433" s="59"/>
      <c r="I433" s="2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/>
      <c r="D434" s="59"/>
      <c r="E434" s="60"/>
      <c r="F434" s="59"/>
      <c r="G434" s="59"/>
      <c r="H434" s="59"/>
      <c r="I434" s="2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2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2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2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2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2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2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27"/>
      <c r="J441" s="27"/>
      <c r="K441" s="27"/>
      <c r="L441" s="27"/>
      <c r="M441" s="27"/>
    </row>
    <row r="442" spans="2:13" s="5" customFormat="1" thickTop="1" thickBo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104"/>
      <c r="C444" s="10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2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/>
      <c r="D447" s="62"/>
      <c r="E447" s="60"/>
      <c r="F447" s="59"/>
      <c r="G447" s="59"/>
      <c r="H447" s="59"/>
      <c r="I447" s="2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/>
      <c r="D448" s="59"/>
      <c r="E448" s="60"/>
      <c r="F448" s="59"/>
      <c r="G448" s="59"/>
      <c r="H448" s="59"/>
      <c r="I448" s="2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2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2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2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2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2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2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2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27"/>
      <c r="J456" s="27"/>
      <c r="K456" s="27"/>
      <c r="L456" s="27"/>
      <c r="M456" s="27"/>
    </row>
    <row r="457" spans="2:13" s="5" customFormat="1" thickTop="1" thickBot="1" x14ac:dyDescent="0.25"/>
    <row r="458" spans="2:13" s="5" customFormat="1" ht="13.5" thickTop="1" x14ac:dyDescent="0.2">
      <c r="B458" s="102" t="s">
        <v>153</v>
      </c>
      <c r="C458" s="103"/>
    </row>
    <row r="459" spans="2:13" s="5" customFormat="1" ht="13.5" thickBot="1" x14ac:dyDescent="0.25">
      <c r="B459" s="104"/>
      <c r="C459" s="105"/>
    </row>
    <row r="460" spans="2:13" s="5" customFormat="1" thickTop="1" thickBot="1" x14ac:dyDescent="0.25"/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2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2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2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2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2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2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2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2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2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/>
  </sheetData>
  <sheetProtection algorithmName="SHA-512" hashValue="Z/B/sP05IlnTeT4EuJ3p2mMnUiJK/1UsETGx+g+kqzdVQByFZ3VsX0JiifEaQ3DtIEUmTJ8qGr2vIZ9IRwEsqQ==" saltValue="PoYMpB5bv90vXJcjoTTF7g==" spinCount="100000" sheet="1" objects="1" scenarios="1" selectLockedCells="1"/>
  <mergeCells count="338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19:G119"/>
    <mergeCell ref="J58:N58"/>
    <mergeCell ref="C59:G59"/>
    <mergeCell ref="J59:N59"/>
    <mergeCell ref="C60:G60"/>
    <mergeCell ref="J60:N60"/>
    <mergeCell ref="B40:E40"/>
    <mergeCell ref="B54:D54"/>
    <mergeCell ref="C56:G56"/>
    <mergeCell ref="J56:N56"/>
    <mergeCell ref="C57:G57"/>
    <mergeCell ref="J57:N57"/>
    <mergeCell ref="J64:N64"/>
    <mergeCell ref="C65:G65"/>
    <mergeCell ref="J65:N65"/>
    <mergeCell ref="C66:G66"/>
    <mergeCell ref="C67:G67"/>
    <mergeCell ref="C61:G61"/>
    <mergeCell ref="J61:N61"/>
    <mergeCell ref="C62:G62"/>
    <mergeCell ref="J62:N62"/>
    <mergeCell ref="C63:G63"/>
    <mergeCell ref="J63:N63"/>
    <mergeCell ref="J88:N88"/>
    <mergeCell ref="C89:G89"/>
    <mergeCell ref="J89:N89"/>
    <mergeCell ref="C90:G90"/>
    <mergeCell ref="J90:N90"/>
    <mergeCell ref="C68:G68"/>
    <mergeCell ref="J68:N68"/>
    <mergeCell ref="B72:E72"/>
    <mergeCell ref="B85:D85"/>
    <mergeCell ref="C87:G87"/>
    <mergeCell ref="J87:N87"/>
    <mergeCell ref="J94:N94"/>
    <mergeCell ref="C95:G95"/>
    <mergeCell ref="J95:N95"/>
    <mergeCell ref="C96:G96"/>
    <mergeCell ref="J96:N96"/>
    <mergeCell ref="C91:G91"/>
    <mergeCell ref="J91:N91"/>
    <mergeCell ref="C92:G92"/>
    <mergeCell ref="J92:N92"/>
    <mergeCell ref="C93:G93"/>
    <mergeCell ref="J93:N93"/>
    <mergeCell ref="J119:N119"/>
    <mergeCell ref="C121:G121"/>
    <mergeCell ref="J120:N120"/>
    <mergeCell ref="J121:N121"/>
    <mergeCell ref="C98:G98"/>
    <mergeCell ref="J98:N98"/>
    <mergeCell ref="B102:F102"/>
    <mergeCell ref="B116:D116"/>
    <mergeCell ref="C118:G118"/>
    <mergeCell ref="J118:N118"/>
    <mergeCell ref="C125:G125"/>
    <mergeCell ref="J125:N125"/>
    <mergeCell ref="C126:G126"/>
    <mergeCell ref="J126:N126"/>
    <mergeCell ref="C127:G127"/>
    <mergeCell ref="C130:G130"/>
    <mergeCell ref="J130:N130"/>
    <mergeCell ref="C122:G122"/>
    <mergeCell ref="J122:N122"/>
    <mergeCell ref="C123:G123"/>
    <mergeCell ref="J123:N123"/>
    <mergeCell ref="C124:G124"/>
    <mergeCell ref="J124:N124"/>
    <mergeCell ref="C149:G149"/>
    <mergeCell ref="J149:N149"/>
    <mergeCell ref="C150:G150"/>
    <mergeCell ref="J150:N150"/>
    <mergeCell ref="C151:G151"/>
    <mergeCell ref="J151:N151"/>
    <mergeCell ref="B134:F134"/>
    <mergeCell ref="B145:D145"/>
    <mergeCell ref="C147:G147"/>
    <mergeCell ref="J147:N147"/>
    <mergeCell ref="C148:G148"/>
    <mergeCell ref="J148:N148"/>
    <mergeCell ref="C155:G155"/>
    <mergeCell ref="J155:N155"/>
    <mergeCell ref="C156:G156"/>
    <mergeCell ref="J156:N156"/>
    <mergeCell ref="B160:F160"/>
    <mergeCell ref="B164:F164"/>
    <mergeCell ref="C152:G152"/>
    <mergeCell ref="J152:N152"/>
    <mergeCell ref="C153:G153"/>
    <mergeCell ref="J153:N153"/>
    <mergeCell ref="C154:G154"/>
    <mergeCell ref="J154:N154"/>
    <mergeCell ref="C173:G173"/>
    <mergeCell ref="J173:N173"/>
    <mergeCell ref="C174:G174"/>
    <mergeCell ref="J174:N174"/>
    <mergeCell ref="C175:G175"/>
    <mergeCell ref="J175:N175"/>
    <mergeCell ref="B168:D168"/>
    <mergeCell ref="C170:G170"/>
    <mergeCell ref="J170:N170"/>
    <mergeCell ref="C171:G171"/>
    <mergeCell ref="J171:N171"/>
    <mergeCell ref="C172:G172"/>
    <mergeCell ref="J172:N172"/>
    <mergeCell ref="C198:G198"/>
    <mergeCell ref="J198:N198"/>
    <mergeCell ref="C199:G199"/>
    <mergeCell ref="J199:N199"/>
    <mergeCell ref="C200:G200"/>
    <mergeCell ref="J200:N200"/>
    <mergeCell ref="B179:F179"/>
    <mergeCell ref="B191:D191"/>
    <mergeCell ref="B192:F192"/>
    <mergeCell ref="C196:G196"/>
    <mergeCell ref="J196:N196"/>
    <mergeCell ref="C197:G197"/>
    <mergeCell ref="J197:N197"/>
    <mergeCell ref="C204:G204"/>
    <mergeCell ref="J204:N204"/>
    <mergeCell ref="C205:G205"/>
    <mergeCell ref="J205:N205"/>
    <mergeCell ref="C206:G206"/>
    <mergeCell ref="J206:N206"/>
    <mergeCell ref="C201:G201"/>
    <mergeCell ref="J201:N201"/>
    <mergeCell ref="C202:G202"/>
    <mergeCell ref="J202:N202"/>
    <mergeCell ref="C203:G203"/>
    <mergeCell ref="J203:N203"/>
    <mergeCell ref="B216:F216"/>
    <mergeCell ref="B224:D224"/>
    <mergeCell ref="C226:G226"/>
    <mergeCell ref="J226:N226"/>
    <mergeCell ref="C227:G227"/>
    <mergeCell ref="J227:N227"/>
    <mergeCell ref="C207:G207"/>
    <mergeCell ref="J207:N207"/>
    <mergeCell ref="C208:G208"/>
    <mergeCell ref="C209:G209"/>
    <mergeCell ref="J209:N209"/>
    <mergeCell ref="B213:F213"/>
    <mergeCell ref="C231:G231"/>
    <mergeCell ref="J231:N231"/>
    <mergeCell ref="C232:G232"/>
    <mergeCell ref="J232:N232"/>
    <mergeCell ref="C233:G233"/>
    <mergeCell ref="J233:N233"/>
    <mergeCell ref="C228:G228"/>
    <mergeCell ref="J228:N228"/>
    <mergeCell ref="C229:G229"/>
    <mergeCell ref="J229:N229"/>
    <mergeCell ref="C230:G230"/>
    <mergeCell ref="J230:N230"/>
    <mergeCell ref="C273:G273"/>
    <mergeCell ref="J273:N273"/>
    <mergeCell ref="C274:G274"/>
    <mergeCell ref="J274:N274"/>
    <mergeCell ref="C275:G275"/>
    <mergeCell ref="J275:N275"/>
    <mergeCell ref="C234:G234"/>
    <mergeCell ref="J234:N234"/>
    <mergeCell ref="B238:C238"/>
    <mergeCell ref="B240:E240"/>
    <mergeCell ref="B270:D270"/>
    <mergeCell ref="C272:G272"/>
    <mergeCell ref="J272:N272"/>
    <mergeCell ref="C279:G279"/>
    <mergeCell ref="J279:N279"/>
    <mergeCell ref="C280:G280"/>
    <mergeCell ref="J280:N280"/>
    <mergeCell ref="C281:G281"/>
    <mergeCell ref="J281:N281"/>
    <mergeCell ref="C276:G276"/>
    <mergeCell ref="J276:N276"/>
    <mergeCell ref="C277:G277"/>
    <mergeCell ref="J277:N277"/>
    <mergeCell ref="C278:G278"/>
    <mergeCell ref="J278:N278"/>
    <mergeCell ref="C285:G285"/>
    <mergeCell ref="J285:N285"/>
    <mergeCell ref="C286:G286"/>
    <mergeCell ref="J286:N286"/>
    <mergeCell ref="C287:G287"/>
    <mergeCell ref="J287:N287"/>
    <mergeCell ref="C282:G282"/>
    <mergeCell ref="J282:N282"/>
    <mergeCell ref="C283:G283"/>
    <mergeCell ref="J283:N283"/>
    <mergeCell ref="C284:G284"/>
    <mergeCell ref="J284:N284"/>
    <mergeCell ref="C291:G291"/>
    <mergeCell ref="J291:N291"/>
    <mergeCell ref="C292:G292"/>
    <mergeCell ref="J292:N292"/>
    <mergeCell ref="C293:G293"/>
    <mergeCell ref="J293:N293"/>
    <mergeCell ref="C288:G288"/>
    <mergeCell ref="J288:N288"/>
    <mergeCell ref="C289:G289"/>
    <mergeCell ref="J289:N289"/>
    <mergeCell ref="C290:G290"/>
    <mergeCell ref="J290:N290"/>
    <mergeCell ref="C297:G297"/>
    <mergeCell ref="J297:N297"/>
    <mergeCell ref="C298:G298"/>
    <mergeCell ref="C299:G299"/>
    <mergeCell ref="C300:G300"/>
    <mergeCell ref="C294:G294"/>
    <mergeCell ref="J294:N294"/>
    <mergeCell ref="C295:G295"/>
    <mergeCell ref="J295:N295"/>
    <mergeCell ref="C296:G296"/>
    <mergeCell ref="J296:N296"/>
    <mergeCell ref="C339:G339"/>
    <mergeCell ref="J339:N339"/>
    <mergeCell ref="C340:G340"/>
    <mergeCell ref="J340:N340"/>
    <mergeCell ref="C341:G341"/>
    <mergeCell ref="J341:N341"/>
    <mergeCell ref="B304:F304"/>
    <mergeCell ref="B332:D332"/>
    <mergeCell ref="B333:F333"/>
    <mergeCell ref="C337:G337"/>
    <mergeCell ref="J337:N337"/>
    <mergeCell ref="C338:G338"/>
    <mergeCell ref="J338:N338"/>
    <mergeCell ref="C345:G345"/>
    <mergeCell ref="J345:N345"/>
    <mergeCell ref="C346:G346"/>
    <mergeCell ref="J346:N346"/>
    <mergeCell ref="C347:G347"/>
    <mergeCell ref="J347:N347"/>
    <mergeCell ref="C342:G342"/>
    <mergeCell ref="J342:N342"/>
    <mergeCell ref="C343:G343"/>
    <mergeCell ref="J343:N343"/>
    <mergeCell ref="C344:G344"/>
    <mergeCell ref="J344:N344"/>
    <mergeCell ref="C351:G351"/>
    <mergeCell ref="J351:N351"/>
    <mergeCell ref="C352:G352"/>
    <mergeCell ref="J352:N352"/>
    <mergeCell ref="C353:G353"/>
    <mergeCell ref="J353:N353"/>
    <mergeCell ref="C348:G348"/>
    <mergeCell ref="J348:N348"/>
    <mergeCell ref="C349:G349"/>
    <mergeCell ref="J349:N349"/>
    <mergeCell ref="C350:G350"/>
    <mergeCell ref="J350:N350"/>
    <mergeCell ref="C357:G357"/>
    <mergeCell ref="J357:N357"/>
    <mergeCell ref="C358:G358"/>
    <mergeCell ref="J358:N358"/>
    <mergeCell ref="C359:G359"/>
    <mergeCell ref="J359:N359"/>
    <mergeCell ref="C354:G354"/>
    <mergeCell ref="J354:N354"/>
    <mergeCell ref="C355:G355"/>
    <mergeCell ref="J355:N355"/>
    <mergeCell ref="C356:G356"/>
    <mergeCell ref="J356:N356"/>
    <mergeCell ref="J365:N365"/>
    <mergeCell ref="B369:F369"/>
    <mergeCell ref="B382:D382"/>
    <mergeCell ref="C360:G360"/>
    <mergeCell ref="J360:N360"/>
    <mergeCell ref="C361:G361"/>
    <mergeCell ref="J361:N361"/>
    <mergeCell ref="C362:G362"/>
    <mergeCell ref="J362:N362"/>
    <mergeCell ref="B383:F383"/>
    <mergeCell ref="C387:G387"/>
    <mergeCell ref="C388:G388"/>
    <mergeCell ref="C389:G389"/>
    <mergeCell ref="C390:G390"/>
    <mergeCell ref="C391:G391"/>
    <mergeCell ref="C363:G363"/>
    <mergeCell ref="C364:G364"/>
    <mergeCell ref="C365:G365"/>
    <mergeCell ref="B403:F403"/>
    <mergeCell ref="B406:F406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14:C14"/>
    <mergeCell ref="D14:G14"/>
    <mergeCell ref="C97:G97"/>
    <mergeCell ref="C128:G128"/>
    <mergeCell ref="C129:G129"/>
    <mergeCell ref="C423:G423"/>
    <mergeCell ref="J423:N423"/>
    <mergeCell ref="C424:G424"/>
    <mergeCell ref="J424:N424"/>
    <mergeCell ref="C420:G420"/>
    <mergeCell ref="J420:N420"/>
    <mergeCell ref="C421:G421"/>
    <mergeCell ref="J421:N421"/>
    <mergeCell ref="C422:G422"/>
    <mergeCell ref="J422:N422"/>
    <mergeCell ref="J416:N416"/>
    <mergeCell ref="C417:G417"/>
    <mergeCell ref="J417:N417"/>
    <mergeCell ref="C418:G418"/>
    <mergeCell ref="J418:N418"/>
    <mergeCell ref="C419:G419"/>
    <mergeCell ref="J419:N419"/>
    <mergeCell ref="C398:G398"/>
    <mergeCell ref="C399:G399"/>
  </mergeCells>
  <dataValidations count="1">
    <dataValidation type="decimal" operator="greaterThanOrEqual" allowBlank="1" showInputMessage="1" showErrorMessage="1" error="يسمح بإدخال أرقام فقط." sqref="E20:E26 E42:E53 E74:E84 E104:E115 E136:E144 E162:E163 E165:E167 E181:E190 E193:E194 E447:E456 E217:E223 E242:E269 E306:E331 E334:E335 E371:E381 E384:E385 E405 E407:E413 E432:E441" xr:uid="{00000000-0002-0000-01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O472"/>
  <sheetViews>
    <sheetView showGridLines="0" rightToLeft="1" topLeftCell="A417" zoomScaleNormal="100" zoomScaleSheetLayoutView="100" workbookViewId="0">
      <selection activeCell="H438" sqref="H438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1:10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0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0" x14ac:dyDescent="0.2">
      <c r="B11" s="107"/>
      <c r="C11" s="107"/>
      <c r="D11" s="107"/>
      <c r="E11" s="107"/>
      <c r="F11" s="107"/>
      <c r="G11" s="107"/>
    </row>
    <row r="12" spans="1:10" s="1" customFormat="1" ht="15.75" thickBot="1" x14ac:dyDescent="0.35">
      <c r="B12" s="108"/>
      <c r="C12" s="108"/>
      <c r="D12" s="108"/>
      <c r="E12" s="108"/>
      <c r="F12" s="108"/>
      <c r="G12" s="108"/>
    </row>
    <row r="13" spans="1:10" s="1" customFormat="1" ht="34.5" customHeight="1" thickTop="1" thickBot="1" x14ac:dyDescent="0.35">
      <c r="B13" s="85" t="s">
        <v>156</v>
      </c>
      <c r="C13" s="86"/>
      <c r="D13" s="86"/>
      <c r="E13" s="86"/>
      <c r="F13" s="86"/>
      <c r="G13" s="87"/>
      <c r="H13" s="2"/>
      <c r="I13" s="2"/>
      <c r="J13" s="2"/>
    </row>
    <row r="14" spans="1:10" s="1" customFormat="1" ht="34.5" customHeight="1" thickTop="1" thickBot="1" x14ac:dyDescent="0.4">
      <c r="B14" s="110" t="s">
        <v>167</v>
      </c>
      <c r="C14" s="110"/>
      <c r="D14" s="110" t="str">
        <f>يناير!D14</f>
        <v>الوجاجه</v>
      </c>
      <c r="E14" s="110"/>
      <c r="F14" s="110"/>
      <c r="G14" s="110"/>
      <c r="H14" s="2"/>
      <c r="I14" s="2"/>
      <c r="J14" s="2"/>
    </row>
    <row r="15" spans="1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1:10" s="5" customFormat="1" ht="21.75" thickTop="1" thickBot="1" x14ac:dyDescent="0.25">
      <c r="B16" s="100" t="s">
        <v>131</v>
      </c>
      <c r="C16" s="101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>
        <v>0</v>
      </c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>
        <v>0</v>
      </c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>
        <v>0</v>
      </c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>
        <v>0</v>
      </c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>
        <v>44</v>
      </c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>
        <v>0</v>
      </c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>
        <v>0</v>
      </c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44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109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 t="s">
        <v>197</v>
      </c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>
        <v>0</v>
      </c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>
        <v>1</v>
      </c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>
        <v>0</v>
      </c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>
        <v>0</v>
      </c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>
        <v>0</v>
      </c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>
        <v>0</v>
      </c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>
        <v>0</v>
      </c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>
        <v>0</v>
      </c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>
        <v>0</v>
      </c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>
        <v>0</v>
      </c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>
        <v>0</v>
      </c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/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1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/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 t="s">
        <v>180</v>
      </c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/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>
        <v>0</v>
      </c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>
        <v>0</v>
      </c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>
        <v>0</v>
      </c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>
        <v>0</v>
      </c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>
        <v>0</v>
      </c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>
        <v>0</v>
      </c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>
        <v>0</v>
      </c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>
        <v>0</v>
      </c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>
        <v>0</v>
      </c>
    </row>
    <row r="83" spans="2:14" s="5" customFormat="1" thickTop="1" thickBot="1" x14ac:dyDescent="0.25">
      <c r="B83" s="6">
        <v>10</v>
      </c>
      <c r="C83" s="6" t="s">
        <v>125</v>
      </c>
      <c r="D83" s="6" t="s">
        <v>28</v>
      </c>
      <c r="E83" s="60">
        <v>0</v>
      </c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>
        <v>0</v>
      </c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ht="16.5" customHeigh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</row>
    <row r="98" spans="2:14" s="5" customFormat="1" ht="19.5" customHeight="1" thickTop="1" thickBot="1" x14ac:dyDescent="0.25">
      <c r="B98" s="6">
        <v>11</v>
      </c>
      <c r="C98" s="67"/>
      <c r="D98" s="68"/>
      <c r="E98" s="68"/>
      <c r="F98" s="68"/>
      <c r="G98" s="69"/>
      <c r="H98" s="7"/>
      <c r="I98" s="7"/>
      <c r="J98" s="70"/>
      <c r="K98" s="70"/>
      <c r="L98" s="70"/>
      <c r="M98" s="70"/>
      <c r="N98" s="70"/>
    </row>
    <row r="99" spans="2:14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2.75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0">
        <v>69887.27</v>
      </c>
      <c r="F104" s="11">
        <f t="shared" ref="F104:F115" si="0">E104/1000</f>
        <v>69.887270000000001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0">
        <v>21439.08</v>
      </c>
      <c r="F105" s="11">
        <f t="shared" si="0"/>
        <v>21.439080000000001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0">
        <v>0</v>
      </c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0">
        <v>34348.044999999998</v>
      </c>
      <c r="F107" s="11">
        <f t="shared" si="0"/>
        <v>34.348044999999999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0">
        <v>264424.69</v>
      </c>
      <c r="F108" s="11">
        <f t="shared" si="0"/>
        <v>264.42469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0">
        <v>55903.27</v>
      </c>
      <c r="F109" s="11">
        <f t="shared" si="0"/>
        <v>55.903269999999999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0">
        <v>0</v>
      </c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0">
        <v>0</v>
      </c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0">
        <v>491398.50199999998</v>
      </c>
      <c r="F112" s="11">
        <f t="shared" si="0"/>
        <v>491.39850199999995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0">
        <v>15796.46</v>
      </c>
      <c r="F113" s="11">
        <f t="shared" si="0"/>
        <v>15.79646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0">
        <v>0</v>
      </c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0">
        <v>50</v>
      </c>
      <c r="F115" s="11">
        <f t="shared" si="0"/>
        <v>0.05</v>
      </c>
      <c r="G115" s="13"/>
    </row>
    <row r="116" spans="2:14" s="5" customFormat="1" thickTop="1" thickBot="1" x14ac:dyDescent="0.25">
      <c r="B116" s="84" t="s">
        <v>80</v>
      </c>
      <c r="C116" s="84"/>
      <c r="D116" s="84"/>
      <c r="E116" s="36">
        <f>SUM(E104:E115)</f>
        <v>953247.31700000004</v>
      </c>
      <c r="F116" s="37">
        <f>SUM(F104:F115)</f>
        <v>953.24731699999995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 t="s">
        <v>198</v>
      </c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3" t="s">
        <v>180</v>
      </c>
      <c r="D120" s="63"/>
      <c r="E120" s="63"/>
      <c r="F120" s="63"/>
      <c r="G120" s="63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 t="s">
        <v>199</v>
      </c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 t="s">
        <v>200</v>
      </c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 t="s">
        <v>201</v>
      </c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ht="16.5" customHeight="1" thickTop="1" thickBot="1" x14ac:dyDescent="0.25">
      <c r="B127" s="6">
        <v>9</v>
      </c>
      <c r="C127" s="67" t="s">
        <v>202</v>
      </c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 t="s">
        <v>203</v>
      </c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</row>
    <row r="129" spans="2:14" s="5" customFormat="1" ht="16.5" customHeigh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ht="16.5" customHeight="1" thickTop="1" thickBot="1" x14ac:dyDescent="0.25">
      <c r="B130" s="6">
        <v>12</v>
      </c>
      <c r="C130" s="67" t="s">
        <v>211</v>
      </c>
      <c r="D130" s="68"/>
      <c r="E130" s="68"/>
      <c r="F130" s="68"/>
      <c r="G130" s="69"/>
      <c r="H130" s="7"/>
      <c r="I130" s="7"/>
      <c r="J130" s="70"/>
      <c r="K130" s="70"/>
      <c r="L130" s="70"/>
      <c r="M130" s="70"/>
      <c r="N130" s="70"/>
    </row>
    <row r="131" spans="2:14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0">
        <v>0</v>
      </c>
      <c r="F136" s="11">
        <f>E136/1000</f>
        <v>0</v>
      </c>
    </row>
    <row r="137" spans="2:14" s="5" customFormat="1" thickTop="1" thickBot="1" x14ac:dyDescent="0.25">
      <c r="B137" s="6">
        <v>2</v>
      </c>
      <c r="C137" s="6" t="s">
        <v>57</v>
      </c>
      <c r="D137" s="6" t="s">
        <v>3</v>
      </c>
      <c r="E137" s="60">
        <v>0</v>
      </c>
      <c r="F137" s="11">
        <f t="shared" ref="F137:F144" si="1"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0">
        <v>0</v>
      </c>
      <c r="F138" s="11">
        <f t="shared" si="1"/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0">
        <v>0</v>
      </c>
      <c r="F139" s="11">
        <f t="shared" si="1"/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0">
        <v>0</v>
      </c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0">
        <v>0</v>
      </c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0">
        <v>0</v>
      </c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0">
        <v>0</v>
      </c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0">
        <v>0</v>
      </c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>
        <v>0</v>
      </c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>
        <v>0</v>
      </c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>
        <v>0</v>
      </c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>
        <v>0</v>
      </c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>
        <v>0</v>
      </c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/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0">
        <v>35100</v>
      </c>
      <c r="F181" s="11">
        <f>E181/1000</f>
        <v>35.1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0">
        <v>1000</v>
      </c>
      <c r="F182" s="11">
        <f t="shared" ref="F182:F190" si="3">E182/1000</f>
        <v>1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0">
        <v>0</v>
      </c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0">
        <v>23750</v>
      </c>
      <c r="F184" s="11">
        <f t="shared" si="3"/>
        <v>23.75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0">
        <v>17544.439999999999</v>
      </c>
      <c r="F185" s="11">
        <f t="shared" si="3"/>
        <v>17.544439999999998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0">
        <v>24881</v>
      </c>
      <c r="F186" s="11">
        <f t="shared" si="3"/>
        <v>24.881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0">
        <v>0</v>
      </c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0">
        <v>0</v>
      </c>
      <c r="F188" s="11">
        <f t="shared" si="3"/>
        <v>0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0">
        <v>0</v>
      </c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0">
        <v>0</v>
      </c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102275.44</v>
      </c>
      <c r="F191" s="37">
        <f>SUM(F181:F190)</f>
        <v>102.27544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>
        <v>0</v>
      </c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>
        <v>0</v>
      </c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 t="s">
        <v>204</v>
      </c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 t="s">
        <v>205</v>
      </c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 t="s">
        <v>180</v>
      </c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 t="s">
        <v>206</v>
      </c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 t="s">
        <v>210</v>
      </c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/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thickTop="1" thickBot="1" x14ac:dyDescent="0.25">
      <c r="B215" s="6">
        <v>1</v>
      </c>
      <c r="C215" s="6" t="s">
        <v>20</v>
      </c>
      <c r="D215" s="6" t="s">
        <v>62</v>
      </c>
      <c r="E215" s="60">
        <v>4161719</v>
      </c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0">
        <v>24481</v>
      </c>
      <c r="F217" s="11">
        <f t="shared" ref="F217:F223" si="4">E217/1000</f>
        <v>24.481000000000002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0">
        <v>0</v>
      </c>
      <c r="F218" s="11">
        <f t="shared" si="4"/>
        <v>0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0">
        <v>0</v>
      </c>
      <c r="F219" s="11">
        <f t="shared" si="4"/>
        <v>0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0">
        <v>0</v>
      </c>
      <c r="F220" s="11">
        <f t="shared" si="4"/>
        <v>0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0">
        <v>88</v>
      </c>
      <c r="F221" s="11">
        <f t="shared" si="4"/>
        <v>8.7999999999999995E-2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0">
        <v>0</v>
      </c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0">
        <v>12261.9</v>
      </c>
      <c r="F223" s="11">
        <f t="shared" si="4"/>
        <v>12.261899999999999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36830.9</v>
      </c>
      <c r="F224" s="43">
        <f>SUM(F217:F223)</f>
        <v>36.8309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 t="s">
        <v>207</v>
      </c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 t="s">
        <v>208</v>
      </c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/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/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/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 t="s">
        <v>194</v>
      </c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 t="s">
        <v>209</v>
      </c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>
        <v>0</v>
      </c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>
        <v>0</v>
      </c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>
        <v>0</v>
      </c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>
        <v>0</v>
      </c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>
        <v>0</v>
      </c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>
        <v>0</v>
      </c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>
        <v>0</v>
      </c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>
        <v>0</v>
      </c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>
        <v>0</v>
      </c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>
        <v>0</v>
      </c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>
        <v>0</v>
      </c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>
        <v>0</v>
      </c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>
        <v>0</v>
      </c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>
        <v>0</v>
      </c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>
        <v>0</v>
      </c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>
        <v>0</v>
      </c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>
        <v>0</v>
      </c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>
        <v>0</v>
      </c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>
        <v>0</v>
      </c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>
        <v>0</v>
      </c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>
        <v>0</v>
      </c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>
        <v>0</v>
      </c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>
        <v>0</v>
      </c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>
        <v>0</v>
      </c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>
        <v>0</v>
      </c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>
        <v>0</v>
      </c>
    </row>
    <row r="268" spans="2:14" s="5" customFormat="1" thickTop="1" thickBot="1" x14ac:dyDescent="0.25">
      <c r="B268" s="6">
        <v>27</v>
      </c>
      <c r="C268" s="6" t="s">
        <v>126</v>
      </c>
      <c r="D268" s="6" t="s">
        <v>28</v>
      </c>
      <c r="E268" s="60">
        <v>0</v>
      </c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>
        <v>0</v>
      </c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30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3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>
      <c r="B303" s="31"/>
    </row>
    <row r="304" spans="2:14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>
        <v>0</v>
      </c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>
        <v>0</v>
      </c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>
        <v>0</v>
      </c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>
        <v>0</v>
      </c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>
        <v>0</v>
      </c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>
        <v>0</v>
      </c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>
        <v>0</v>
      </c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>
        <v>0</v>
      </c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>
        <v>0</v>
      </c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>
        <v>0</v>
      </c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>
        <v>0</v>
      </c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>
        <v>0</v>
      </c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>
        <v>0</v>
      </c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>
        <v>0</v>
      </c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>
        <v>0</v>
      </c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>
        <v>0</v>
      </c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>
        <v>0</v>
      </c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>
        <v>0</v>
      </c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>
        <v>0</v>
      </c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>
        <v>0</v>
      </c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>
        <v>0</v>
      </c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>
        <v>0</v>
      </c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>
        <v>0</v>
      </c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>
        <v>0</v>
      </c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>
        <v>0</v>
      </c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>
        <v>0</v>
      </c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>
        <v>0</v>
      </c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>
        <v>0</v>
      </c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123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>
        <v>0</v>
      </c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>
        <v>0</v>
      </c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>
        <v>0</v>
      </c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>
        <v>0</v>
      </c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>
        <v>0</v>
      </c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>
        <v>0</v>
      </c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>
        <v>0</v>
      </c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>
        <v>0</v>
      </c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>
        <v>0</v>
      </c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>
        <v>0</v>
      </c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>
        <v>0</v>
      </c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>
        <v>0</v>
      </c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>
        <v>0</v>
      </c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123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/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>
        <v>0</v>
      </c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>
        <v>0</v>
      </c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>
        <v>0</v>
      </c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>
        <v>0</v>
      </c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>
        <v>0</v>
      </c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>
        <v>0</v>
      </c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>
        <v>0</v>
      </c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2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 t="s">
        <v>214</v>
      </c>
      <c r="D432" s="62">
        <v>45720</v>
      </c>
      <c r="E432" s="60">
        <v>979</v>
      </c>
      <c r="F432" s="59" t="s">
        <v>180</v>
      </c>
      <c r="G432" s="63" t="s">
        <v>215</v>
      </c>
      <c r="H432" s="63" t="s">
        <v>212</v>
      </c>
      <c r="I432" s="2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 t="s">
        <v>56</v>
      </c>
      <c r="D433" s="62">
        <v>45735</v>
      </c>
      <c r="E433" s="60">
        <v>492</v>
      </c>
      <c r="F433" s="59" t="s">
        <v>180</v>
      </c>
      <c r="G433" s="63" t="s">
        <v>213</v>
      </c>
      <c r="H433" s="63" t="s">
        <v>212</v>
      </c>
      <c r="I433" s="2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 t="s">
        <v>216</v>
      </c>
      <c r="D434" s="62">
        <v>45737</v>
      </c>
      <c r="E434" s="60">
        <v>10000</v>
      </c>
      <c r="F434" s="59" t="s">
        <v>180</v>
      </c>
      <c r="G434" s="59" t="s">
        <v>217</v>
      </c>
      <c r="H434" s="63" t="s">
        <v>212</v>
      </c>
      <c r="I434" s="2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2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2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2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2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2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2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27"/>
      <c r="J441" s="27"/>
      <c r="K441" s="27"/>
      <c r="L441" s="27"/>
      <c r="M441" s="27"/>
    </row>
    <row r="442" spans="2:13" s="5" customFormat="1" thickTop="1" thickBo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104"/>
      <c r="C444" s="10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121</v>
      </c>
      <c r="G446" s="52" t="s">
        <v>68</v>
      </c>
      <c r="H446" s="52" t="s">
        <v>69</v>
      </c>
      <c r="I446" s="2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/>
      <c r="D447" s="62"/>
      <c r="E447" s="60"/>
      <c r="F447" s="59"/>
      <c r="G447" s="59"/>
      <c r="H447" s="59"/>
      <c r="I447" s="2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/>
      <c r="D448" s="62"/>
      <c r="E448" s="60"/>
      <c r="F448" s="59"/>
      <c r="G448" s="59"/>
      <c r="H448" s="59"/>
      <c r="I448" s="2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2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2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2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2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2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2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2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27"/>
      <c r="J456" s="27"/>
      <c r="K456" s="27"/>
      <c r="L456" s="27"/>
      <c r="M456" s="27"/>
    </row>
    <row r="457" spans="2:13" s="5" customFormat="1" thickTop="1" thickBot="1" x14ac:dyDescent="0.25"/>
    <row r="458" spans="2:13" s="5" customFormat="1" ht="13.5" thickTop="1" x14ac:dyDescent="0.2">
      <c r="B458" s="102" t="s">
        <v>153</v>
      </c>
      <c r="C458" s="103"/>
    </row>
    <row r="459" spans="2:13" s="5" customFormat="1" ht="13.5" thickBot="1" x14ac:dyDescent="0.25">
      <c r="B459" s="104"/>
      <c r="C459" s="105"/>
    </row>
    <row r="460" spans="2:13" s="5" customFormat="1" thickTop="1" thickBot="1" x14ac:dyDescent="0.25"/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2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2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2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2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2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2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2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2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2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/>
  </sheetData>
  <sheetProtection algorithmName="SHA-512" hashValue="S/Nx5cBgMZNO2pXHOvSXwnIzEkF6MKxPXf3kwUgAM47qi4pkLrJDLxHu6fbXaXjB+5IV0Zb0puE79x/czphiqg==" saltValue="GLeADnZmYER6YXe0Wp0NRQ==" spinCount="100000" sheet="1" objects="1" scenarios="1" selectLockedCells="1"/>
  <mergeCells count="338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19:G119"/>
    <mergeCell ref="J58:N58"/>
    <mergeCell ref="C59:G59"/>
    <mergeCell ref="J59:N59"/>
    <mergeCell ref="C60:G60"/>
    <mergeCell ref="J60:N60"/>
    <mergeCell ref="B40:E40"/>
    <mergeCell ref="B54:D54"/>
    <mergeCell ref="C56:G56"/>
    <mergeCell ref="J56:N56"/>
    <mergeCell ref="C57:G57"/>
    <mergeCell ref="J57:N57"/>
    <mergeCell ref="J64:N64"/>
    <mergeCell ref="C65:G65"/>
    <mergeCell ref="J65:N65"/>
    <mergeCell ref="C66:G66"/>
    <mergeCell ref="C67:G67"/>
    <mergeCell ref="C61:G61"/>
    <mergeCell ref="J61:N61"/>
    <mergeCell ref="C62:G62"/>
    <mergeCell ref="J62:N62"/>
    <mergeCell ref="C63:G63"/>
    <mergeCell ref="J63:N63"/>
    <mergeCell ref="J88:N88"/>
    <mergeCell ref="C89:G89"/>
    <mergeCell ref="J89:N89"/>
    <mergeCell ref="C90:G90"/>
    <mergeCell ref="J90:N90"/>
    <mergeCell ref="C68:G68"/>
    <mergeCell ref="J68:N68"/>
    <mergeCell ref="B72:E72"/>
    <mergeCell ref="B85:D85"/>
    <mergeCell ref="C87:G87"/>
    <mergeCell ref="J87:N87"/>
    <mergeCell ref="J94:N94"/>
    <mergeCell ref="C95:G95"/>
    <mergeCell ref="J95:N95"/>
    <mergeCell ref="C96:G96"/>
    <mergeCell ref="J96:N96"/>
    <mergeCell ref="C91:G91"/>
    <mergeCell ref="J91:N91"/>
    <mergeCell ref="C92:G92"/>
    <mergeCell ref="J92:N92"/>
    <mergeCell ref="C93:G93"/>
    <mergeCell ref="J93:N93"/>
    <mergeCell ref="J119:N119"/>
    <mergeCell ref="J120:N120"/>
    <mergeCell ref="C121:G121"/>
    <mergeCell ref="J121:N121"/>
    <mergeCell ref="C98:G98"/>
    <mergeCell ref="J98:N98"/>
    <mergeCell ref="B102:F102"/>
    <mergeCell ref="B116:D116"/>
    <mergeCell ref="C118:G118"/>
    <mergeCell ref="J118:N118"/>
    <mergeCell ref="C125:G125"/>
    <mergeCell ref="J125:N125"/>
    <mergeCell ref="C126:G126"/>
    <mergeCell ref="J126:N126"/>
    <mergeCell ref="C127:G127"/>
    <mergeCell ref="C130:G130"/>
    <mergeCell ref="J130:N130"/>
    <mergeCell ref="C122:G122"/>
    <mergeCell ref="J122:N122"/>
    <mergeCell ref="C123:G123"/>
    <mergeCell ref="J123:N123"/>
    <mergeCell ref="C124:G124"/>
    <mergeCell ref="J124:N124"/>
    <mergeCell ref="C149:G149"/>
    <mergeCell ref="J149:N149"/>
    <mergeCell ref="C150:G150"/>
    <mergeCell ref="J150:N150"/>
    <mergeCell ref="C151:G151"/>
    <mergeCell ref="J151:N151"/>
    <mergeCell ref="B134:F134"/>
    <mergeCell ref="B145:D145"/>
    <mergeCell ref="C147:G147"/>
    <mergeCell ref="J147:N147"/>
    <mergeCell ref="C148:G148"/>
    <mergeCell ref="J148:N148"/>
    <mergeCell ref="C155:G155"/>
    <mergeCell ref="J155:N155"/>
    <mergeCell ref="C156:G156"/>
    <mergeCell ref="J156:N156"/>
    <mergeCell ref="B160:F160"/>
    <mergeCell ref="B164:F164"/>
    <mergeCell ref="C152:G152"/>
    <mergeCell ref="J152:N152"/>
    <mergeCell ref="C153:G153"/>
    <mergeCell ref="J153:N153"/>
    <mergeCell ref="C154:G154"/>
    <mergeCell ref="J154:N154"/>
    <mergeCell ref="C173:G173"/>
    <mergeCell ref="J173:N173"/>
    <mergeCell ref="C174:G174"/>
    <mergeCell ref="J174:N174"/>
    <mergeCell ref="C175:G175"/>
    <mergeCell ref="J175:N175"/>
    <mergeCell ref="B168:D168"/>
    <mergeCell ref="C170:G170"/>
    <mergeCell ref="J170:N170"/>
    <mergeCell ref="C171:G171"/>
    <mergeCell ref="J171:N171"/>
    <mergeCell ref="C172:G172"/>
    <mergeCell ref="J172:N172"/>
    <mergeCell ref="C198:G198"/>
    <mergeCell ref="J198:N198"/>
    <mergeCell ref="C199:G199"/>
    <mergeCell ref="J199:N199"/>
    <mergeCell ref="C200:G200"/>
    <mergeCell ref="J200:N200"/>
    <mergeCell ref="B179:F179"/>
    <mergeCell ref="B191:D191"/>
    <mergeCell ref="B192:F192"/>
    <mergeCell ref="C196:G196"/>
    <mergeCell ref="J196:N196"/>
    <mergeCell ref="C197:G197"/>
    <mergeCell ref="J197:N197"/>
    <mergeCell ref="C204:G204"/>
    <mergeCell ref="J204:N204"/>
    <mergeCell ref="C205:G205"/>
    <mergeCell ref="J205:N205"/>
    <mergeCell ref="C206:G206"/>
    <mergeCell ref="J206:N206"/>
    <mergeCell ref="C201:G201"/>
    <mergeCell ref="J201:N201"/>
    <mergeCell ref="C202:G202"/>
    <mergeCell ref="J202:N202"/>
    <mergeCell ref="C203:G203"/>
    <mergeCell ref="J203:N203"/>
    <mergeCell ref="B216:F216"/>
    <mergeCell ref="B224:D224"/>
    <mergeCell ref="C226:G226"/>
    <mergeCell ref="J226:N226"/>
    <mergeCell ref="C227:G227"/>
    <mergeCell ref="J227:N227"/>
    <mergeCell ref="C207:G207"/>
    <mergeCell ref="J207:N207"/>
    <mergeCell ref="C208:G208"/>
    <mergeCell ref="C209:G209"/>
    <mergeCell ref="J209:N209"/>
    <mergeCell ref="B213:F213"/>
    <mergeCell ref="C231:G231"/>
    <mergeCell ref="J231:N231"/>
    <mergeCell ref="C232:G232"/>
    <mergeCell ref="J232:N232"/>
    <mergeCell ref="C233:G233"/>
    <mergeCell ref="J233:N233"/>
    <mergeCell ref="C228:G228"/>
    <mergeCell ref="J228:N228"/>
    <mergeCell ref="C229:G229"/>
    <mergeCell ref="J229:N229"/>
    <mergeCell ref="C230:G230"/>
    <mergeCell ref="J230:N230"/>
    <mergeCell ref="C273:G273"/>
    <mergeCell ref="J273:N273"/>
    <mergeCell ref="C274:G274"/>
    <mergeCell ref="J274:N274"/>
    <mergeCell ref="C275:G275"/>
    <mergeCell ref="J275:N275"/>
    <mergeCell ref="C234:G234"/>
    <mergeCell ref="J234:N234"/>
    <mergeCell ref="B238:C238"/>
    <mergeCell ref="B240:E240"/>
    <mergeCell ref="B270:D270"/>
    <mergeCell ref="C272:G272"/>
    <mergeCell ref="J272:N272"/>
    <mergeCell ref="C279:G279"/>
    <mergeCell ref="J279:N279"/>
    <mergeCell ref="C280:G280"/>
    <mergeCell ref="J280:N280"/>
    <mergeCell ref="C281:G281"/>
    <mergeCell ref="J281:N281"/>
    <mergeCell ref="C276:G276"/>
    <mergeCell ref="J276:N276"/>
    <mergeCell ref="C277:G277"/>
    <mergeCell ref="J277:N277"/>
    <mergeCell ref="C278:G278"/>
    <mergeCell ref="J278:N278"/>
    <mergeCell ref="C285:G285"/>
    <mergeCell ref="J285:N285"/>
    <mergeCell ref="C286:G286"/>
    <mergeCell ref="J286:N286"/>
    <mergeCell ref="C287:G287"/>
    <mergeCell ref="J287:N287"/>
    <mergeCell ref="C282:G282"/>
    <mergeCell ref="J282:N282"/>
    <mergeCell ref="C283:G283"/>
    <mergeCell ref="J283:N283"/>
    <mergeCell ref="C284:G284"/>
    <mergeCell ref="J284:N284"/>
    <mergeCell ref="C291:G291"/>
    <mergeCell ref="J291:N291"/>
    <mergeCell ref="C292:G292"/>
    <mergeCell ref="J292:N292"/>
    <mergeCell ref="C293:G293"/>
    <mergeCell ref="J293:N293"/>
    <mergeCell ref="C288:G288"/>
    <mergeCell ref="J288:N288"/>
    <mergeCell ref="C289:G289"/>
    <mergeCell ref="J289:N289"/>
    <mergeCell ref="C290:G290"/>
    <mergeCell ref="J290:N290"/>
    <mergeCell ref="C297:G297"/>
    <mergeCell ref="J297:N297"/>
    <mergeCell ref="C298:G298"/>
    <mergeCell ref="C299:G299"/>
    <mergeCell ref="C300:G300"/>
    <mergeCell ref="C294:G294"/>
    <mergeCell ref="J294:N294"/>
    <mergeCell ref="C295:G295"/>
    <mergeCell ref="J295:N295"/>
    <mergeCell ref="C296:G296"/>
    <mergeCell ref="J296:N296"/>
    <mergeCell ref="C339:G339"/>
    <mergeCell ref="J339:N339"/>
    <mergeCell ref="C340:G340"/>
    <mergeCell ref="J340:N340"/>
    <mergeCell ref="C341:G341"/>
    <mergeCell ref="J341:N341"/>
    <mergeCell ref="B304:F304"/>
    <mergeCell ref="B332:D332"/>
    <mergeCell ref="B333:F333"/>
    <mergeCell ref="C337:G337"/>
    <mergeCell ref="J337:N337"/>
    <mergeCell ref="C338:G338"/>
    <mergeCell ref="J338:N338"/>
    <mergeCell ref="C345:G345"/>
    <mergeCell ref="J345:N345"/>
    <mergeCell ref="C346:G346"/>
    <mergeCell ref="J346:N346"/>
    <mergeCell ref="C347:G347"/>
    <mergeCell ref="J347:N347"/>
    <mergeCell ref="C342:G342"/>
    <mergeCell ref="J342:N342"/>
    <mergeCell ref="C343:G343"/>
    <mergeCell ref="J343:N343"/>
    <mergeCell ref="C344:G344"/>
    <mergeCell ref="J344:N344"/>
    <mergeCell ref="C351:G351"/>
    <mergeCell ref="J351:N351"/>
    <mergeCell ref="C352:G352"/>
    <mergeCell ref="J352:N352"/>
    <mergeCell ref="C353:G353"/>
    <mergeCell ref="J353:N353"/>
    <mergeCell ref="C348:G348"/>
    <mergeCell ref="J348:N348"/>
    <mergeCell ref="C349:G349"/>
    <mergeCell ref="J349:N349"/>
    <mergeCell ref="C350:G350"/>
    <mergeCell ref="J350:N350"/>
    <mergeCell ref="C357:G357"/>
    <mergeCell ref="J357:N357"/>
    <mergeCell ref="C358:G358"/>
    <mergeCell ref="J358:N358"/>
    <mergeCell ref="C359:G359"/>
    <mergeCell ref="J359:N359"/>
    <mergeCell ref="C354:G354"/>
    <mergeCell ref="J354:N354"/>
    <mergeCell ref="C355:G355"/>
    <mergeCell ref="J355:N355"/>
    <mergeCell ref="C356:G356"/>
    <mergeCell ref="J356:N356"/>
    <mergeCell ref="J365:N365"/>
    <mergeCell ref="B369:F369"/>
    <mergeCell ref="B382:D382"/>
    <mergeCell ref="C360:G360"/>
    <mergeCell ref="J360:N360"/>
    <mergeCell ref="C361:G361"/>
    <mergeCell ref="J361:N361"/>
    <mergeCell ref="C362:G362"/>
    <mergeCell ref="J362:N362"/>
    <mergeCell ref="B383:F383"/>
    <mergeCell ref="C387:G387"/>
    <mergeCell ref="C388:G388"/>
    <mergeCell ref="C389:G389"/>
    <mergeCell ref="C390:G390"/>
    <mergeCell ref="C391:G391"/>
    <mergeCell ref="C363:G363"/>
    <mergeCell ref="C364:G364"/>
    <mergeCell ref="C365:G365"/>
    <mergeCell ref="B403:F403"/>
    <mergeCell ref="B406:F406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14:C14"/>
    <mergeCell ref="D14:G14"/>
    <mergeCell ref="C97:G97"/>
    <mergeCell ref="C128:G128"/>
    <mergeCell ref="C129:G129"/>
    <mergeCell ref="C423:G423"/>
    <mergeCell ref="J423:N423"/>
    <mergeCell ref="C424:G424"/>
    <mergeCell ref="J424:N424"/>
    <mergeCell ref="C420:G420"/>
    <mergeCell ref="J420:N420"/>
    <mergeCell ref="C421:G421"/>
    <mergeCell ref="J421:N421"/>
    <mergeCell ref="C422:G422"/>
    <mergeCell ref="J422:N422"/>
    <mergeCell ref="J416:N416"/>
    <mergeCell ref="C417:G417"/>
    <mergeCell ref="J417:N417"/>
    <mergeCell ref="C418:G418"/>
    <mergeCell ref="J418:N418"/>
    <mergeCell ref="C419:G419"/>
    <mergeCell ref="J419:N419"/>
    <mergeCell ref="C398:G398"/>
    <mergeCell ref="C399:G399"/>
  </mergeCells>
  <dataValidations count="1">
    <dataValidation type="decimal" operator="greaterThanOrEqual" allowBlank="1" showInputMessage="1" showErrorMessage="1" error="يسمح بإدخال أرقام فقط." sqref="E20:E26 E42:E53 E74:E84 E104:E115 E136:E144 E162:E163 E165:E167 E181:E190 E193:E194 E215 E217:E223 E242:E269 E306:E331 E334:E335 E371:E381 E384:E385 E405 E407:E413 E432:E441 E447:E456" xr:uid="{00000000-0002-0000-02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9:O472"/>
  <sheetViews>
    <sheetView showGridLines="0" rightToLeft="1" topLeftCell="A409" zoomScaleNormal="100" zoomScaleSheetLayoutView="100" workbookViewId="0">
      <selection activeCell="H432" sqref="H432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1:10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0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0" x14ac:dyDescent="0.2">
      <c r="B11" s="107"/>
      <c r="C11" s="107"/>
      <c r="D11" s="107"/>
      <c r="E11" s="107"/>
      <c r="F11" s="107"/>
      <c r="G11" s="107"/>
    </row>
    <row r="12" spans="1:10" s="1" customFormat="1" ht="15.75" thickBot="1" x14ac:dyDescent="0.35">
      <c r="B12" s="108"/>
      <c r="C12" s="108"/>
      <c r="D12" s="108"/>
      <c r="E12" s="108"/>
      <c r="F12" s="108"/>
      <c r="G12" s="108"/>
    </row>
    <row r="13" spans="1:10" s="1" customFormat="1" ht="34.5" customHeight="1" thickTop="1" thickBot="1" x14ac:dyDescent="0.35">
      <c r="B13" s="85" t="s">
        <v>157</v>
      </c>
      <c r="C13" s="86"/>
      <c r="D13" s="86"/>
      <c r="E13" s="86"/>
      <c r="F13" s="86"/>
      <c r="G13" s="87"/>
      <c r="H13" s="2"/>
      <c r="I13" s="2"/>
      <c r="J13" s="2"/>
    </row>
    <row r="14" spans="1:10" s="1" customFormat="1" ht="34.5" customHeight="1" thickTop="1" thickBot="1" x14ac:dyDescent="0.4">
      <c r="B14" s="110" t="s">
        <v>167</v>
      </c>
      <c r="C14" s="110"/>
      <c r="D14" s="110" t="str">
        <f>يناير!D14</f>
        <v>الوجاجه</v>
      </c>
      <c r="E14" s="110"/>
      <c r="F14" s="110"/>
      <c r="G14" s="110"/>
      <c r="H14" s="2"/>
      <c r="I14" s="2"/>
      <c r="J14" s="2"/>
    </row>
    <row r="15" spans="1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1:10" s="5" customFormat="1" ht="21.75" thickTop="1" thickBot="1" x14ac:dyDescent="0.25">
      <c r="B16" s="100" t="s">
        <v>131</v>
      </c>
      <c r="C16" s="101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>
        <v>0</v>
      </c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>
        <v>0</v>
      </c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>
        <v>0</v>
      </c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>
        <v>0</v>
      </c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>
        <v>41</v>
      </c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>
        <v>0</v>
      </c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>
        <v>0</v>
      </c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41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67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 t="s">
        <v>218</v>
      </c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>
        <v>0</v>
      </c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>
        <v>3</v>
      </c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>
        <v>0</v>
      </c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>
        <v>0</v>
      </c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>
        <v>0</v>
      </c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>
        <v>0</v>
      </c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>
        <v>0</v>
      </c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>
        <v>0</v>
      </c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>
        <v>0</v>
      </c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>
        <v>0</v>
      </c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>
        <v>0</v>
      </c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>
        <v>0</v>
      </c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3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/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 t="s">
        <v>180</v>
      </c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/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>
        <v>0</v>
      </c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>
        <v>0</v>
      </c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>
        <v>0</v>
      </c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>
        <v>0</v>
      </c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>
        <v>0</v>
      </c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>
        <v>0</v>
      </c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>
        <v>0</v>
      </c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>
        <v>0</v>
      </c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>
        <v>0</v>
      </c>
    </row>
    <row r="83" spans="2:14" s="5" customFormat="1" thickTop="1" thickBot="1" x14ac:dyDescent="0.25">
      <c r="B83" s="6">
        <v>10</v>
      </c>
      <c r="C83" s="6" t="s">
        <v>125</v>
      </c>
      <c r="D83" s="6" t="s">
        <v>28</v>
      </c>
      <c r="E83" s="60">
        <v>0</v>
      </c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>
        <v>0</v>
      </c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ht="16.5" customHeigh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</row>
    <row r="98" spans="2:14" s="5" customFormat="1" ht="19.5" customHeight="1" thickTop="1" thickBot="1" x14ac:dyDescent="0.25">
      <c r="B98" s="6">
        <v>11</v>
      </c>
      <c r="C98" s="67"/>
      <c r="D98" s="68"/>
      <c r="E98" s="68"/>
      <c r="F98" s="68"/>
      <c r="G98" s="69"/>
      <c r="H98" s="7"/>
      <c r="I98" s="7"/>
      <c r="J98" s="70"/>
      <c r="K98" s="70"/>
      <c r="L98" s="70"/>
      <c r="M98" s="70"/>
      <c r="N98" s="70"/>
    </row>
    <row r="99" spans="2:14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2.75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0">
        <v>97706</v>
      </c>
      <c r="F104" s="11">
        <f t="shared" ref="F104:F115" si="0">E104/1000</f>
        <v>97.706000000000003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0"/>
      <c r="F105" s="11">
        <f t="shared" si="0"/>
        <v>0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0"/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0">
        <v>153824.45000000001</v>
      </c>
      <c r="F107" s="11">
        <f t="shared" si="0"/>
        <v>153.82445000000001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0">
        <v>26567.8</v>
      </c>
      <c r="F108" s="11">
        <f t="shared" si="0"/>
        <v>26.567799999999998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0">
        <v>7737.86</v>
      </c>
      <c r="F109" s="11">
        <f t="shared" si="0"/>
        <v>7.7378599999999995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0"/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0"/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0">
        <v>252513.2</v>
      </c>
      <c r="F112" s="11">
        <f t="shared" si="0"/>
        <v>252.51320000000001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0">
        <v>2651.18</v>
      </c>
      <c r="F113" s="11">
        <f t="shared" si="0"/>
        <v>2.6511799999999996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0"/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0"/>
      <c r="F115" s="11">
        <f t="shared" si="0"/>
        <v>0</v>
      </c>
      <c r="G115" s="13"/>
    </row>
    <row r="116" spans="2:14" s="5" customFormat="1" thickTop="1" thickBot="1" x14ac:dyDescent="0.25">
      <c r="B116" s="84" t="s">
        <v>80</v>
      </c>
      <c r="C116" s="84"/>
      <c r="D116" s="84"/>
      <c r="E116" s="36">
        <f>SUM(E104:E115)</f>
        <v>541000.49000000011</v>
      </c>
      <c r="F116" s="37">
        <f>SUM(F104:F115)</f>
        <v>541.00049000000001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 t="s">
        <v>219</v>
      </c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7"/>
      <c r="D120" s="68"/>
      <c r="E120" s="68"/>
      <c r="F120" s="68"/>
      <c r="G120" s="69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 t="s">
        <v>221</v>
      </c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 t="s">
        <v>222</v>
      </c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 t="s">
        <v>223</v>
      </c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ht="16.5" customHeight="1" thickTop="1" thickBot="1" x14ac:dyDescent="0.25">
      <c r="B127" s="6">
        <v>9</v>
      </c>
      <c r="C127" s="67" t="s">
        <v>220</v>
      </c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 t="s">
        <v>224</v>
      </c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</row>
    <row r="129" spans="2:14" s="5" customFormat="1" ht="16.5" customHeigh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ht="16.5" customHeight="1" thickTop="1" thickBot="1" x14ac:dyDescent="0.25">
      <c r="B130" s="6">
        <v>12</v>
      </c>
      <c r="C130" s="67"/>
      <c r="D130" s="68"/>
      <c r="E130" s="68"/>
      <c r="F130" s="68"/>
      <c r="G130" s="69"/>
      <c r="H130" s="7"/>
      <c r="I130" s="7"/>
      <c r="J130" s="70"/>
      <c r="K130" s="70"/>
      <c r="L130" s="70"/>
      <c r="M130" s="70"/>
      <c r="N130" s="70"/>
    </row>
    <row r="131" spans="2:14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0"/>
      <c r="F136" s="11">
        <f>E136/1000</f>
        <v>0</v>
      </c>
    </row>
    <row r="137" spans="2:14" s="5" customFormat="1" thickTop="1" thickBot="1" x14ac:dyDescent="0.25">
      <c r="B137" s="6">
        <v>2</v>
      </c>
      <c r="C137" s="6" t="s">
        <v>57</v>
      </c>
      <c r="D137" s="6" t="s">
        <v>3</v>
      </c>
      <c r="E137" s="60"/>
      <c r="F137" s="11">
        <f t="shared" ref="F137:F144" si="1"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0"/>
      <c r="F138" s="11">
        <f t="shared" si="1"/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0"/>
      <c r="F139" s="11">
        <f t="shared" si="1"/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0"/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0"/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0"/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0"/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0"/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/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/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/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/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/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/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0">
        <v>21850</v>
      </c>
      <c r="F181" s="11">
        <f>E181/1000</f>
        <v>21.85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0"/>
      <c r="F182" s="11">
        <f t="shared" ref="F182:F190" si="3">E182/1000</f>
        <v>0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0"/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0">
        <v>10000</v>
      </c>
      <c r="F184" s="11">
        <f t="shared" si="3"/>
        <v>10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0">
        <v>33122.980000000003</v>
      </c>
      <c r="F185" s="11">
        <f t="shared" si="3"/>
        <v>33.122980000000005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0">
        <v>1681</v>
      </c>
      <c r="F186" s="11">
        <f t="shared" si="3"/>
        <v>1.681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0"/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0">
        <v>108000</v>
      </c>
      <c r="F188" s="11">
        <f t="shared" si="3"/>
        <v>108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0"/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0"/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174653.98</v>
      </c>
      <c r="F191" s="37">
        <f>SUM(F181:F190)</f>
        <v>174.65397999999999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>
        <v>0</v>
      </c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>
        <v>0</v>
      </c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 t="s">
        <v>180</v>
      </c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/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 t="s">
        <v>225</v>
      </c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 t="s">
        <v>226</v>
      </c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 t="s">
        <v>230</v>
      </c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 t="s">
        <v>227</v>
      </c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thickTop="1" thickBot="1" x14ac:dyDescent="0.25">
      <c r="B215" s="6">
        <v>1</v>
      </c>
      <c r="C215" s="6" t="s">
        <v>20</v>
      </c>
      <c r="D215" s="6" t="s">
        <v>62</v>
      </c>
      <c r="E215" s="60">
        <v>2033402</v>
      </c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0">
        <v>29562</v>
      </c>
      <c r="F217" s="11">
        <f t="shared" ref="F217:F223" si="4">E217/1000</f>
        <v>29.562000000000001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0"/>
      <c r="F218" s="11">
        <f t="shared" si="4"/>
        <v>0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0">
        <v>24</v>
      </c>
      <c r="F219" s="11">
        <f t="shared" si="4"/>
        <v>2.4E-2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0"/>
      <c r="F220" s="11">
        <f t="shared" si="4"/>
        <v>0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0"/>
      <c r="F221" s="11">
        <f t="shared" si="4"/>
        <v>0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0"/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0">
        <v>29000</v>
      </c>
      <c r="F223" s="11">
        <f t="shared" si="4"/>
        <v>29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58586</v>
      </c>
      <c r="F224" s="43">
        <f>SUM(F217:F223)</f>
        <v>58.585999999999999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 t="s">
        <v>229</v>
      </c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 t="s">
        <v>228</v>
      </c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/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 t="s">
        <v>180</v>
      </c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/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/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/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>
        <v>0</v>
      </c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>
        <v>0</v>
      </c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>
        <v>0</v>
      </c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>
        <v>0</v>
      </c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>
        <v>0</v>
      </c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>
        <v>0</v>
      </c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>
        <v>0</v>
      </c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>
        <v>0</v>
      </c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>
        <v>0</v>
      </c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>
        <v>0</v>
      </c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>
        <v>0</v>
      </c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>
        <v>0</v>
      </c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>
        <v>0</v>
      </c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>
        <v>0</v>
      </c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>
        <v>0</v>
      </c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>
        <v>0</v>
      </c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>
        <v>0</v>
      </c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>
        <v>0</v>
      </c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>
        <v>0</v>
      </c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>
        <v>0</v>
      </c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>
        <v>0</v>
      </c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>
        <v>0</v>
      </c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>
        <v>0</v>
      </c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>
        <v>0</v>
      </c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>
        <v>0</v>
      </c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>
        <v>0</v>
      </c>
    </row>
    <row r="268" spans="2:14" s="5" customFormat="1" thickTop="1" thickBot="1" x14ac:dyDescent="0.25">
      <c r="B268" s="6">
        <v>27</v>
      </c>
      <c r="C268" s="6" t="s">
        <v>127</v>
      </c>
      <c r="D268" s="6" t="s">
        <v>28</v>
      </c>
      <c r="E268" s="60">
        <v>0</v>
      </c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>
        <v>0</v>
      </c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30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3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>
      <c r="B303" s="31"/>
    </row>
    <row r="304" spans="2:14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/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/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/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/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/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/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/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/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/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/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/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/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/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/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/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/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/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/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>
        <v>0</v>
      </c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/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/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/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/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/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/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/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/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>
        <v>0</v>
      </c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123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>
        <v>0</v>
      </c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>
        <v>0</v>
      </c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>
        <v>0</v>
      </c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>
        <v>0</v>
      </c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>
        <v>0</v>
      </c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>
        <v>0</v>
      </c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>
        <v>0</v>
      </c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>
        <v>0</v>
      </c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>
        <v>0</v>
      </c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>
        <v>0</v>
      </c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>
        <v>0</v>
      </c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>
        <v>0</v>
      </c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>
        <v>0</v>
      </c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123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>
        <v>0</v>
      </c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>
        <v>0</v>
      </c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>
        <v>0</v>
      </c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>
        <v>0</v>
      </c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>
        <v>0</v>
      </c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>
        <v>0</v>
      </c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>
        <v>0</v>
      </c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>
        <v>0</v>
      </c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2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 t="s">
        <v>216</v>
      </c>
      <c r="D432" s="62">
        <v>45759</v>
      </c>
      <c r="E432" s="60">
        <v>17040</v>
      </c>
      <c r="F432" s="59" t="s">
        <v>180</v>
      </c>
      <c r="G432" s="59" t="s">
        <v>231</v>
      </c>
      <c r="H432" s="59" t="s">
        <v>232</v>
      </c>
      <c r="I432" s="2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/>
      <c r="D433" s="59"/>
      <c r="E433" s="60"/>
      <c r="F433" s="59"/>
      <c r="G433" s="59"/>
      <c r="H433" s="59"/>
      <c r="I433" s="2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/>
      <c r="D434" s="59"/>
      <c r="E434" s="60"/>
      <c r="F434" s="59"/>
      <c r="G434" s="59"/>
      <c r="H434" s="59"/>
      <c r="I434" s="2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2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2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2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2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2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2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27"/>
      <c r="J441" s="27"/>
      <c r="K441" s="27"/>
      <c r="L441" s="27"/>
      <c r="M441" s="27"/>
    </row>
    <row r="442" spans="2:13" s="5" customFormat="1" thickTop="1" thickBo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104"/>
      <c r="C444" s="10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2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/>
      <c r="D447" s="59"/>
      <c r="E447" s="60"/>
      <c r="F447" s="59"/>
      <c r="G447" s="59"/>
      <c r="H447" s="59"/>
      <c r="I447" s="2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/>
      <c r="D448" s="59"/>
      <c r="E448" s="60"/>
      <c r="F448" s="59"/>
      <c r="G448" s="59"/>
      <c r="H448" s="59"/>
      <c r="I448" s="2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2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2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2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2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2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2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2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27"/>
      <c r="J456" s="27"/>
      <c r="K456" s="27"/>
      <c r="L456" s="27"/>
      <c r="M456" s="27"/>
    </row>
    <row r="457" spans="2:13" s="5" customFormat="1" thickTop="1" thickBot="1" x14ac:dyDescent="0.25"/>
    <row r="458" spans="2:13" s="5" customFormat="1" ht="13.5" thickTop="1" x14ac:dyDescent="0.2">
      <c r="B458" s="102" t="s">
        <v>153</v>
      </c>
      <c r="C458" s="103"/>
    </row>
    <row r="459" spans="2:13" s="5" customFormat="1" ht="13.5" thickBot="1" x14ac:dyDescent="0.25">
      <c r="B459" s="104"/>
      <c r="C459" s="105"/>
    </row>
    <row r="460" spans="2:13" s="5" customFormat="1" thickTop="1" thickBot="1" x14ac:dyDescent="0.25"/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2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2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 t="s">
        <v>170</v>
      </c>
      <c r="D463" s="59"/>
      <c r="E463" s="59"/>
      <c r="F463" s="59"/>
      <c r="G463" s="59"/>
      <c r="H463" s="59"/>
      <c r="I463" s="2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2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2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2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2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2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2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/>
  </sheetData>
  <sheetProtection algorithmName="SHA-512" hashValue="CeqrE9ZW3rLbJmujgW85QCbmwj8hW5cCp0Ny7vYQ4b56CsKHWKKgCtnINhFXauyOKO/mLGZFeijQ4fHLUQt+kg==" saltValue="K2vQ5V7ToLCIgaGynYWjmA==" spinCount="100000" sheet="1" objects="1" scenarios="1" selectLockedCells="1"/>
  <mergeCells count="339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19:G119"/>
    <mergeCell ref="J58:N58"/>
    <mergeCell ref="C59:G59"/>
    <mergeCell ref="J59:N59"/>
    <mergeCell ref="C60:G60"/>
    <mergeCell ref="J60:N60"/>
    <mergeCell ref="B40:E40"/>
    <mergeCell ref="B54:D54"/>
    <mergeCell ref="C56:G56"/>
    <mergeCell ref="J56:N56"/>
    <mergeCell ref="C57:G57"/>
    <mergeCell ref="J57:N57"/>
    <mergeCell ref="J64:N64"/>
    <mergeCell ref="C65:G65"/>
    <mergeCell ref="J65:N65"/>
    <mergeCell ref="C66:G66"/>
    <mergeCell ref="C67:G67"/>
    <mergeCell ref="C61:G61"/>
    <mergeCell ref="J61:N61"/>
    <mergeCell ref="C62:G62"/>
    <mergeCell ref="J62:N62"/>
    <mergeCell ref="C63:G63"/>
    <mergeCell ref="J63:N63"/>
    <mergeCell ref="J88:N88"/>
    <mergeCell ref="C89:G89"/>
    <mergeCell ref="J89:N89"/>
    <mergeCell ref="C90:G90"/>
    <mergeCell ref="J90:N90"/>
    <mergeCell ref="C68:G68"/>
    <mergeCell ref="J68:N68"/>
    <mergeCell ref="B72:E72"/>
    <mergeCell ref="B85:D85"/>
    <mergeCell ref="C87:G87"/>
    <mergeCell ref="J87:N87"/>
    <mergeCell ref="J94:N94"/>
    <mergeCell ref="C95:G95"/>
    <mergeCell ref="J95:N95"/>
    <mergeCell ref="C96:G96"/>
    <mergeCell ref="J96:N96"/>
    <mergeCell ref="C91:G91"/>
    <mergeCell ref="J91:N91"/>
    <mergeCell ref="C92:G92"/>
    <mergeCell ref="J92:N92"/>
    <mergeCell ref="C93:G93"/>
    <mergeCell ref="J93:N93"/>
    <mergeCell ref="J119:N119"/>
    <mergeCell ref="C120:G120"/>
    <mergeCell ref="J120:N120"/>
    <mergeCell ref="C121:G121"/>
    <mergeCell ref="J121:N121"/>
    <mergeCell ref="C98:G98"/>
    <mergeCell ref="J98:N98"/>
    <mergeCell ref="B102:F102"/>
    <mergeCell ref="B116:D116"/>
    <mergeCell ref="C118:G118"/>
    <mergeCell ref="J118:N118"/>
    <mergeCell ref="C125:G125"/>
    <mergeCell ref="J125:N125"/>
    <mergeCell ref="C126:G126"/>
    <mergeCell ref="J126:N126"/>
    <mergeCell ref="C127:G127"/>
    <mergeCell ref="C130:G130"/>
    <mergeCell ref="J130:N130"/>
    <mergeCell ref="C122:G122"/>
    <mergeCell ref="J122:N122"/>
    <mergeCell ref="C123:G123"/>
    <mergeCell ref="J123:N123"/>
    <mergeCell ref="C124:G124"/>
    <mergeCell ref="J124:N124"/>
    <mergeCell ref="C149:G149"/>
    <mergeCell ref="J149:N149"/>
    <mergeCell ref="C150:G150"/>
    <mergeCell ref="J150:N150"/>
    <mergeCell ref="C151:G151"/>
    <mergeCell ref="J151:N151"/>
    <mergeCell ref="B134:F134"/>
    <mergeCell ref="B145:D145"/>
    <mergeCell ref="C147:G147"/>
    <mergeCell ref="J147:N147"/>
    <mergeCell ref="C148:G148"/>
    <mergeCell ref="J148:N148"/>
    <mergeCell ref="C155:G155"/>
    <mergeCell ref="J155:N155"/>
    <mergeCell ref="C156:G156"/>
    <mergeCell ref="J156:N156"/>
    <mergeCell ref="B160:F160"/>
    <mergeCell ref="B164:F164"/>
    <mergeCell ref="C152:G152"/>
    <mergeCell ref="J152:N152"/>
    <mergeCell ref="C153:G153"/>
    <mergeCell ref="J153:N153"/>
    <mergeCell ref="C154:G154"/>
    <mergeCell ref="J154:N154"/>
    <mergeCell ref="C173:G173"/>
    <mergeCell ref="J173:N173"/>
    <mergeCell ref="C174:G174"/>
    <mergeCell ref="J174:N174"/>
    <mergeCell ref="C175:G175"/>
    <mergeCell ref="J175:N175"/>
    <mergeCell ref="B168:D168"/>
    <mergeCell ref="C170:G170"/>
    <mergeCell ref="J170:N170"/>
    <mergeCell ref="C171:G171"/>
    <mergeCell ref="J171:N171"/>
    <mergeCell ref="C172:G172"/>
    <mergeCell ref="J172:N172"/>
    <mergeCell ref="C198:G198"/>
    <mergeCell ref="J198:N198"/>
    <mergeCell ref="C199:G199"/>
    <mergeCell ref="J199:N199"/>
    <mergeCell ref="C200:G200"/>
    <mergeCell ref="J200:N200"/>
    <mergeCell ref="B179:F179"/>
    <mergeCell ref="B191:D191"/>
    <mergeCell ref="B192:F192"/>
    <mergeCell ref="C196:G196"/>
    <mergeCell ref="J196:N196"/>
    <mergeCell ref="C197:G197"/>
    <mergeCell ref="J197:N197"/>
    <mergeCell ref="C204:G204"/>
    <mergeCell ref="J204:N204"/>
    <mergeCell ref="C205:G205"/>
    <mergeCell ref="J205:N205"/>
    <mergeCell ref="C206:G206"/>
    <mergeCell ref="J206:N206"/>
    <mergeCell ref="C201:G201"/>
    <mergeCell ref="J201:N201"/>
    <mergeCell ref="C202:G202"/>
    <mergeCell ref="J202:N202"/>
    <mergeCell ref="C203:G203"/>
    <mergeCell ref="J203:N203"/>
    <mergeCell ref="B216:F216"/>
    <mergeCell ref="B224:D224"/>
    <mergeCell ref="C226:G226"/>
    <mergeCell ref="J226:N226"/>
    <mergeCell ref="C227:G227"/>
    <mergeCell ref="J227:N227"/>
    <mergeCell ref="C207:G207"/>
    <mergeCell ref="J207:N207"/>
    <mergeCell ref="C208:G208"/>
    <mergeCell ref="C209:G209"/>
    <mergeCell ref="J209:N209"/>
    <mergeCell ref="B213:F213"/>
    <mergeCell ref="C231:G231"/>
    <mergeCell ref="J231:N231"/>
    <mergeCell ref="C232:G232"/>
    <mergeCell ref="J232:N232"/>
    <mergeCell ref="C233:G233"/>
    <mergeCell ref="J233:N233"/>
    <mergeCell ref="C228:G228"/>
    <mergeCell ref="J228:N228"/>
    <mergeCell ref="C229:G229"/>
    <mergeCell ref="J229:N229"/>
    <mergeCell ref="C230:G230"/>
    <mergeCell ref="J230:N230"/>
    <mergeCell ref="C273:G273"/>
    <mergeCell ref="J273:N273"/>
    <mergeCell ref="C274:G274"/>
    <mergeCell ref="J274:N274"/>
    <mergeCell ref="C275:G275"/>
    <mergeCell ref="J275:N275"/>
    <mergeCell ref="C234:G234"/>
    <mergeCell ref="J234:N234"/>
    <mergeCell ref="B238:C238"/>
    <mergeCell ref="B240:E240"/>
    <mergeCell ref="B270:D270"/>
    <mergeCell ref="C272:G272"/>
    <mergeCell ref="J272:N272"/>
    <mergeCell ref="C279:G279"/>
    <mergeCell ref="J279:N279"/>
    <mergeCell ref="C280:G280"/>
    <mergeCell ref="J280:N280"/>
    <mergeCell ref="C281:G281"/>
    <mergeCell ref="J281:N281"/>
    <mergeCell ref="C276:G276"/>
    <mergeCell ref="J276:N276"/>
    <mergeCell ref="C277:G277"/>
    <mergeCell ref="J277:N277"/>
    <mergeCell ref="C278:G278"/>
    <mergeCell ref="J278:N278"/>
    <mergeCell ref="C285:G285"/>
    <mergeCell ref="J285:N285"/>
    <mergeCell ref="C286:G286"/>
    <mergeCell ref="J286:N286"/>
    <mergeCell ref="C287:G287"/>
    <mergeCell ref="J287:N287"/>
    <mergeCell ref="C282:G282"/>
    <mergeCell ref="J282:N282"/>
    <mergeCell ref="C283:G283"/>
    <mergeCell ref="J283:N283"/>
    <mergeCell ref="C284:G284"/>
    <mergeCell ref="J284:N284"/>
    <mergeCell ref="C291:G291"/>
    <mergeCell ref="J291:N291"/>
    <mergeCell ref="C292:G292"/>
    <mergeCell ref="J292:N292"/>
    <mergeCell ref="C293:G293"/>
    <mergeCell ref="J293:N293"/>
    <mergeCell ref="C288:G288"/>
    <mergeCell ref="J288:N288"/>
    <mergeCell ref="C289:G289"/>
    <mergeCell ref="J289:N289"/>
    <mergeCell ref="C290:G290"/>
    <mergeCell ref="J290:N290"/>
    <mergeCell ref="C297:G297"/>
    <mergeCell ref="J297:N297"/>
    <mergeCell ref="C298:G298"/>
    <mergeCell ref="C299:G299"/>
    <mergeCell ref="C300:G300"/>
    <mergeCell ref="C294:G294"/>
    <mergeCell ref="J294:N294"/>
    <mergeCell ref="C295:G295"/>
    <mergeCell ref="J295:N295"/>
    <mergeCell ref="C296:G296"/>
    <mergeCell ref="J296:N296"/>
    <mergeCell ref="C339:G339"/>
    <mergeCell ref="J339:N339"/>
    <mergeCell ref="C340:G340"/>
    <mergeCell ref="J340:N340"/>
    <mergeCell ref="C341:G341"/>
    <mergeCell ref="J341:N341"/>
    <mergeCell ref="B304:F304"/>
    <mergeCell ref="B332:D332"/>
    <mergeCell ref="B333:F333"/>
    <mergeCell ref="C337:G337"/>
    <mergeCell ref="J337:N337"/>
    <mergeCell ref="C338:G338"/>
    <mergeCell ref="J338:N338"/>
    <mergeCell ref="C345:G345"/>
    <mergeCell ref="J345:N345"/>
    <mergeCell ref="C346:G346"/>
    <mergeCell ref="J346:N346"/>
    <mergeCell ref="C347:G347"/>
    <mergeCell ref="J347:N347"/>
    <mergeCell ref="C342:G342"/>
    <mergeCell ref="J342:N342"/>
    <mergeCell ref="C343:G343"/>
    <mergeCell ref="J343:N343"/>
    <mergeCell ref="C344:G344"/>
    <mergeCell ref="J344:N344"/>
    <mergeCell ref="C351:G351"/>
    <mergeCell ref="J351:N351"/>
    <mergeCell ref="C352:G352"/>
    <mergeCell ref="J352:N352"/>
    <mergeCell ref="C353:G353"/>
    <mergeCell ref="J353:N353"/>
    <mergeCell ref="C348:G348"/>
    <mergeCell ref="J348:N348"/>
    <mergeCell ref="C349:G349"/>
    <mergeCell ref="J349:N349"/>
    <mergeCell ref="C350:G350"/>
    <mergeCell ref="J350:N350"/>
    <mergeCell ref="C357:G357"/>
    <mergeCell ref="J357:N357"/>
    <mergeCell ref="C358:G358"/>
    <mergeCell ref="J358:N358"/>
    <mergeCell ref="C359:G359"/>
    <mergeCell ref="J359:N359"/>
    <mergeCell ref="C354:G354"/>
    <mergeCell ref="J354:N354"/>
    <mergeCell ref="C355:G355"/>
    <mergeCell ref="J355:N355"/>
    <mergeCell ref="C356:G356"/>
    <mergeCell ref="J356:N356"/>
    <mergeCell ref="J365:N365"/>
    <mergeCell ref="B369:F369"/>
    <mergeCell ref="B382:D382"/>
    <mergeCell ref="C360:G360"/>
    <mergeCell ref="J360:N360"/>
    <mergeCell ref="C361:G361"/>
    <mergeCell ref="J361:N361"/>
    <mergeCell ref="C362:G362"/>
    <mergeCell ref="J362:N362"/>
    <mergeCell ref="B383:F383"/>
    <mergeCell ref="C387:G387"/>
    <mergeCell ref="C388:G388"/>
    <mergeCell ref="C389:G389"/>
    <mergeCell ref="C390:G390"/>
    <mergeCell ref="C391:G391"/>
    <mergeCell ref="C363:G363"/>
    <mergeCell ref="C364:G364"/>
    <mergeCell ref="C365:G365"/>
    <mergeCell ref="B403:F403"/>
    <mergeCell ref="B406:F406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14:C14"/>
    <mergeCell ref="D14:G14"/>
    <mergeCell ref="C97:G97"/>
    <mergeCell ref="C128:G128"/>
    <mergeCell ref="C129:G129"/>
    <mergeCell ref="C423:G423"/>
    <mergeCell ref="J423:N423"/>
    <mergeCell ref="C424:G424"/>
    <mergeCell ref="J424:N424"/>
    <mergeCell ref="C420:G420"/>
    <mergeCell ref="J420:N420"/>
    <mergeCell ref="C421:G421"/>
    <mergeCell ref="J421:N421"/>
    <mergeCell ref="C422:G422"/>
    <mergeCell ref="J422:N422"/>
    <mergeCell ref="J416:N416"/>
    <mergeCell ref="C417:G417"/>
    <mergeCell ref="J417:N417"/>
    <mergeCell ref="C418:G418"/>
    <mergeCell ref="J418:N418"/>
    <mergeCell ref="C419:G419"/>
    <mergeCell ref="J419:N419"/>
    <mergeCell ref="C398:G398"/>
    <mergeCell ref="C399:G399"/>
  </mergeCells>
  <dataValidations count="1">
    <dataValidation type="decimal" operator="greaterThanOrEqual" allowBlank="1" showInputMessage="1" showErrorMessage="1" error="يسمح بإدخال أرقام فقط." sqref="E432:E441 E20:E26 E42:E53 E74:E84 E104:E115 E136:E144 E162:E163 E165:E167 E181:E190 E193:E194 E215 E217:E223 E242:E269 E306:E331 E334:E335 E371:E381 E384:E385 E405 E407:E413 E447:E456" xr:uid="{00000000-0002-0000-03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9:O472"/>
  <sheetViews>
    <sheetView showGridLines="0" rightToLeft="1" topLeftCell="A427" zoomScaleNormal="100" zoomScaleSheetLayoutView="100" workbookViewId="0">
      <selection activeCell="H450" sqref="H450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1:10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0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0" x14ac:dyDescent="0.2">
      <c r="B11" s="107"/>
      <c r="C11" s="107"/>
      <c r="D11" s="107"/>
      <c r="E11" s="107"/>
      <c r="F11" s="107"/>
      <c r="G11" s="107"/>
    </row>
    <row r="12" spans="1:10" s="1" customFormat="1" ht="15.75" thickBot="1" x14ac:dyDescent="0.35">
      <c r="B12" s="108"/>
      <c r="C12" s="108"/>
      <c r="D12" s="108"/>
      <c r="E12" s="108"/>
      <c r="F12" s="108"/>
      <c r="G12" s="108"/>
    </row>
    <row r="13" spans="1:10" s="1" customFormat="1" ht="34.5" customHeight="1" thickTop="1" thickBot="1" x14ac:dyDescent="0.35">
      <c r="B13" s="85" t="s">
        <v>158</v>
      </c>
      <c r="C13" s="86"/>
      <c r="D13" s="86"/>
      <c r="E13" s="86"/>
      <c r="F13" s="86"/>
      <c r="G13" s="87"/>
      <c r="H13" s="2"/>
      <c r="I13" s="2"/>
      <c r="J13" s="2"/>
    </row>
    <row r="14" spans="1:10" s="1" customFormat="1" ht="34.5" customHeight="1" thickTop="1" thickBot="1" x14ac:dyDescent="0.4">
      <c r="B14" s="110" t="s">
        <v>167</v>
      </c>
      <c r="C14" s="110"/>
      <c r="D14" s="110" t="str">
        <f>يناير!D14</f>
        <v>الوجاجه</v>
      </c>
      <c r="E14" s="110"/>
      <c r="F14" s="110"/>
      <c r="G14" s="110"/>
      <c r="H14" s="2"/>
      <c r="I14" s="2"/>
      <c r="J14" s="2"/>
    </row>
    <row r="15" spans="1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1:10" s="5" customFormat="1" ht="21.75" thickTop="1" thickBot="1" x14ac:dyDescent="0.25">
      <c r="B16" s="100" t="s">
        <v>131</v>
      </c>
      <c r="C16" s="101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/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/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/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/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>
        <v>27</v>
      </c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/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/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27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67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 t="s">
        <v>233</v>
      </c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/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/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/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/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/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/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/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/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/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/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/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/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0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/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/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/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/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/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/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/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/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/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/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/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/>
    </row>
    <row r="83" spans="2:14" s="5" customFormat="1" thickTop="1" thickBot="1" x14ac:dyDescent="0.25">
      <c r="B83" s="6">
        <v>10</v>
      </c>
      <c r="C83" s="6" t="s">
        <v>125</v>
      </c>
      <c r="D83" s="6" t="s">
        <v>28</v>
      </c>
      <c r="E83" s="60"/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/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0"/>
      <c r="K97" s="70"/>
      <c r="L97" s="70"/>
      <c r="M97" s="70"/>
      <c r="N97" s="70"/>
    </row>
    <row r="98" spans="2:14" s="5" customFormat="1" thickTop="1" thickBot="1" x14ac:dyDescent="0.25">
      <c r="B98" s="6">
        <v>11</v>
      </c>
      <c r="C98" s="111"/>
      <c r="D98" s="111"/>
      <c r="E98" s="111"/>
      <c r="F98" s="111"/>
      <c r="G98" s="111"/>
      <c r="H98" s="7"/>
      <c r="I98" s="7"/>
      <c r="J98" s="7"/>
      <c r="K98" s="7"/>
      <c r="L98" s="7"/>
      <c r="M98" s="7"/>
      <c r="N98" s="7"/>
    </row>
    <row r="99" spans="2:14" s="5" customFormat="1" ht="13.5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9.5" customHeight="1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0">
        <v>238531.03</v>
      </c>
      <c r="F104" s="11">
        <f t="shared" ref="F104:F115" si="0">E104/1000</f>
        <v>238.53102999999999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0">
        <v>5000</v>
      </c>
      <c r="F105" s="11">
        <f t="shared" si="0"/>
        <v>5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0">
        <v>0</v>
      </c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0">
        <v>39541.396000000001</v>
      </c>
      <c r="F107" s="11">
        <f t="shared" si="0"/>
        <v>39.541395999999999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0">
        <v>57747.98</v>
      </c>
      <c r="F108" s="11">
        <f t="shared" si="0"/>
        <v>57.747980000000005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0">
        <v>22119.47</v>
      </c>
      <c r="F109" s="11">
        <f t="shared" si="0"/>
        <v>22.11947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0">
        <v>0</v>
      </c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0">
        <v>0</v>
      </c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0">
        <v>631584.19999999995</v>
      </c>
      <c r="F112" s="11">
        <f t="shared" si="0"/>
        <v>631.58420000000001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0">
        <v>35</v>
      </c>
      <c r="F113" s="11">
        <f t="shared" si="0"/>
        <v>3.5000000000000003E-2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0">
        <v>0</v>
      </c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0">
        <v>0</v>
      </c>
      <c r="F115" s="11">
        <f t="shared" si="0"/>
        <v>0</v>
      </c>
      <c r="G115" s="13"/>
    </row>
    <row r="116" spans="2:14" s="5" customFormat="1" thickTop="1" thickBot="1" x14ac:dyDescent="0.25">
      <c r="B116" s="84" t="s">
        <v>77</v>
      </c>
      <c r="C116" s="84"/>
      <c r="D116" s="84"/>
      <c r="E116" s="36">
        <f>SUM(E104:E115)</f>
        <v>994559.07599999988</v>
      </c>
      <c r="F116" s="37">
        <f>SUM(F104:F115)</f>
        <v>994.55907599999989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 t="s">
        <v>235</v>
      </c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3"/>
      <c r="D120" s="63" t="s">
        <v>234</v>
      </c>
      <c r="E120" s="63"/>
      <c r="F120" s="63"/>
      <c r="G120" s="63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 t="s">
        <v>237</v>
      </c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 t="s">
        <v>236</v>
      </c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 t="s">
        <v>238</v>
      </c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thickTop="1" thickBot="1" x14ac:dyDescent="0.25">
      <c r="B127" s="6">
        <v>9</v>
      </c>
      <c r="C127" s="67" t="s">
        <v>239</v>
      </c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 t="s">
        <v>180</v>
      </c>
      <c r="D128" s="68"/>
      <c r="E128" s="68"/>
      <c r="F128" s="68"/>
      <c r="G128" s="69"/>
      <c r="H128" s="7"/>
      <c r="I128" s="7"/>
      <c r="J128" s="70"/>
      <c r="K128" s="70"/>
      <c r="L128" s="70"/>
      <c r="M128" s="70"/>
      <c r="N128" s="70"/>
    </row>
    <row r="129" spans="2:14" s="5" customForma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thickTop="1" thickBot="1" x14ac:dyDescent="0.25">
      <c r="B130" s="6">
        <v>12</v>
      </c>
      <c r="C130" s="67"/>
      <c r="D130" s="68"/>
      <c r="E130" s="68"/>
      <c r="F130" s="68"/>
      <c r="G130" s="69"/>
      <c r="H130" s="7"/>
      <c r="I130" s="7"/>
      <c r="J130" s="7"/>
      <c r="K130" s="7"/>
      <c r="L130" s="7"/>
      <c r="M130" s="7"/>
      <c r="N130" s="7"/>
    </row>
    <row r="131" spans="2:14" s="5" customFormat="1" ht="13.5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2.75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0"/>
      <c r="D133" s="70"/>
      <c r="E133" s="70"/>
      <c r="F133" s="70"/>
      <c r="G133" s="70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0"/>
      <c r="F136" s="11">
        <f>E136/1000</f>
        <v>0</v>
      </c>
    </row>
    <row r="137" spans="2:14" s="5" customFormat="1" thickTop="1" thickBot="1" x14ac:dyDescent="0.25">
      <c r="B137" s="6">
        <v>2</v>
      </c>
      <c r="C137" s="6" t="s">
        <v>57</v>
      </c>
      <c r="D137" s="6" t="s">
        <v>3</v>
      </c>
      <c r="E137" s="60"/>
      <c r="F137" s="11">
        <f t="shared" ref="F137:F144" si="1"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0"/>
      <c r="F138" s="11">
        <f t="shared" si="1"/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0"/>
      <c r="F139" s="11">
        <f t="shared" si="1"/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0"/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0"/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0"/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0"/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0"/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/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/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/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/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/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/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0">
        <v>24650</v>
      </c>
      <c r="F181" s="11">
        <f>E181/1000</f>
        <v>24.65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0"/>
      <c r="F182" s="11">
        <f t="shared" ref="F182:F190" si="3">E182/1000</f>
        <v>0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0"/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0"/>
      <c r="F184" s="11">
        <f t="shared" si="3"/>
        <v>0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0">
        <v>24931.010999999999</v>
      </c>
      <c r="F185" s="11">
        <f t="shared" si="3"/>
        <v>24.931010999999998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0"/>
      <c r="F186" s="11">
        <f t="shared" si="3"/>
        <v>0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0"/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0"/>
      <c r="F188" s="11">
        <f t="shared" si="3"/>
        <v>0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0"/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0"/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49581.010999999999</v>
      </c>
      <c r="F191" s="37">
        <f>SUM(F181:F190)</f>
        <v>49.581010999999997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/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/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 t="s">
        <v>180</v>
      </c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/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/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 t="s">
        <v>240</v>
      </c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/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/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thickTop="1" thickBot="1" x14ac:dyDescent="0.25">
      <c r="B215" s="6">
        <v>1</v>
      </c>
      <c r="C215" s="6" t="s">
        <v>20</v>
      </c>
      <c r="D215" s="6" t="s">
        <v>62</v>
      </c>
      <c r="E215" s="60">
        <v>307865</v>
      </c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0">
        <v>4723</v>
      </c>
      <c r="F217" s="11">
        <f t="shared" ref="F217:F223" si="4">E217/1000</f>
        <v>4.7229999999999999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0"/>
      <c r="F218" s="11">
        <f t="shared" si="4"/>
        <v>0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0"/>
      <c r="F219" s="11">
        <f t="shared" si="4"/>
        <v>0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0">
        <v>6110</v>
      </c>
      <c r="F220" s="11">
        <f t="shared" si="4"/>
        <v>6.11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0"/>
      <c r="F221" s="11">
        <f t="shared" si="4"/>
        <v>0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0"/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0">
        <v>16000</v>
      </c>
      <c r="F223" s="11">
        <f t="shared" si="4"/>
        <v>16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26833</v>
      </c>
      <c r="F224" s="43">
        <f>SUM(F217:F223)</f>
        <v>26.832999999999998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 t="s">
        <v>242</v>
      </c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 t="s">
        <v>243</v>
      </c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/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/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 t="s">
        <v>241</v>
      </c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/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 t="s">
        <v>244</v>
      </c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/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/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/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/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/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/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/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/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/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/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/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/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/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/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/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/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/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/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/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/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/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/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/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/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/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/>
    </row>
    <row r="268" spans="2:14" s="5" customFormat="1" thickTop="1" thickBot="1" x14ac:dyDescent="0.25">
      <c r="B268" s="6">
        <v>27</v>
      </c>
      <c r="C268" s="6" t="s">
        <v>127</v>
      </c>
      <c r="D268" s="6" t="s">
        <v>28</v>
      </c>
      <c r="E268" s="60"/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/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5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6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/>
    <row r="304" spans="2:14" s="5" customFormat="1" ht="17.25" thickTop="1" thickBot="1" x14ac:dyDescent="0.3">
      <c r="B304" s="82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8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/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/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/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/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/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/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/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/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/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/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/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/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/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/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/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/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/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/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/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/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/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/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/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/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/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/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/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/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123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/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/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/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/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/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/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/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/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/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/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/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/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/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123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/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/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/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/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/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/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/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/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 t="s">
        <v>56</v>
      </c>
      <c r="D432" s="62">
        <v>45785</v>
      </c>
      <c r="E432" s="60">
        <v>4500</v>
      </c>
      <c r="F432" s="59" t="s">
        <v>180</v>
      </c>
      <c r="G432" s="59" t="s">
        <v>245</v>
      </c>
      <c r="H432" s="59" t="s">
        <v>246</v>
      </c>
      <c r="I432" s="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 t="s">
        <v>56</v>
      </c>
      <c r="D433" s="62">
        <v>45794</v>
      </c>
      <c r="E433" s="60">
        <v>11100</v>
      </c>
      <c r="F433" s="59" t="s">
        <v>180</v>
      </c>
      <c r="G433" s="59" t="s">
        <v>231</v>
      </c>
      <c r="H433" s="59" t="s">
        <v>246</v>
      </c>
      <c r="I433" s="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/>
      <c r="D434" s="59"/>
      <c r="E434" s="60"/>
      <c r="F434" s="59"/>
      <c r="G434" s="59"/>
      <c r="H434" s="59"/>
      <c r="I434" s="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7"/>
      <c r="J441" s="27"/>
      <c r="K441" s="27"/>
      <c r="L441" s="27"/>
      <c r="M441" s="27"/>
    </row>
    <row r="442" spans="2:13" s="5" customFormat="1" thickTop="1" thickBot="1" x14ac:dyDescent="0.25">
      <c r="B442" s="32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104"/>
      <c r="C444" s="10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 t="s">
        <v>56</v>
      </c>
      <c r="D447" s="62">
        <v>45806</v>
      </c>
      <c r="E447" s="60">
        <v>8000</v>
      </c>
      <c r="F447" s="59" t="s">
        <v>180</v>
      </c>
      <c r="G447" s="59" t="s">
        <v>247</v>
      </c>
      <c r="H447" s="59" t="s">
        <v>248</v>
      </c>
      <c r="I447" s="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 t="s">
        <v>56</v>
      </c>
      <c r="D448" s="62">
        <v>45806</v>
      </c>
      <c r="E448" s="60">
        <v>7000</v>
      </c>
      <c r="F448" s="59" t="s">
        <v>180</v>
      </c>
      <c r="G448" s="59" t="s">
        <v>247</v>
      </c>
      <c r="H448" s="59" t="s">
        <v>248</v>
      </c>
      <c r="I448" s="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7"/>
      <c r="J456" s="27"/>
      <c r="K456" s="27"/>
      <c r="L456" s="27"/>
      <c r="M456" s="27"/>
    </row>
    <row r="457" spans="2:13" s="5" customFormat="1" thickTop="1" thickBot="1" x14ac:dyDescent="0.25">
      <c r="B457" s="32"/>
      <c r="C457" s="55"/>
      <c r="D457" s="55"/>
      <c r="E457" s="55"/>
      <c r="F457" s="55"/>
      <c r="G457" s="55"/>
      <c r="H457" s="55"/>
      <c r="I457" s="7"/>
      <c r="J457" s="27"/>
      <c r="K457" s="27"/>
      <c r="L457" s="27"/>
      <c r="M457" s="27"/>
    </row>
    <row r="458" spans="2:13" s="5" customFormat="1" ht="13.5" thickTop="1" x14ac:dyDescent="0.2">
      <c r="B458" s="102" t="s">
        <v>153</v>
      </c>
      <c r="C458" s="103"/>
      <c r="D458" s="56"/>
      <c r="E458" s="27"/>
      <c r="F458" s="27"/>
      <c r="G458" s="27"/>
      <c r="H458" s="27"/>
      <c r="I458" s="7"/>
      <c r="J458" s="27"/>
      <c r="K458" s="27"/>
      <c r="L458" s="27"/>
      <c r="M458" s="27"/>
    </row>
    <row r="459" spans="2:13" s="5" customFormat="1" ht="13.5" thickBot="1" x14ac:dyDescent="0.25">
      <c r="B459" s="104"/>
      <c r="C459" s="105"/>
      <c r="D459" s="56"/>
      <c r="E459" s="27"/>
      <c r="F459" s="27"/>
      <c r="G459" s="27"/>
      <c r="H459" s="27"/>
      <c r="I459" s="7"/>
      <c r="J459" s="27"/>
      <c r="K459" s="27"/>
      <c r="L459" s="27"/>
      <c r="M459" s="27"/>
    </row>
    <row r="460" spans="2:13" s="5" customFormat="1" thickTop="1" thickBot="1" x14ac:dyDescent="0.25">
      <c r="B460" s="35"/>
      <c r="C460" s="57"/>
      <c r="D460" s="57"/>
      <c r="E460" s="27"/>
      <c r="F460" s="27"/>
      <c r="G460" s="27"/>
      <c r="H460" s="27"/>
      <c r="I460" s="7"/>
      <c r="J460" s="27"/>
      <c r="K460" s="27"/>
      <c r="L460" s="27"/>
      <c r="M460" s="27"/>
    </row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>
      <c r="B472" s="32"/>
    </row>
  </sheetData>
  <sheetProtection algorithmName="SHA-512" hashValue="bv25GMbcxKualilkCTT3VtpDTsUZw6E9tL7TJeLm7BZ/1YvqKRvhSE79YCP6a+7BgZHvSo2YADz0DX+otoCGUg==" saltValue="XIxWV4YW/hedIIEF1o/DOQ==" spinCount="100000" sheet="1" objects="1" scenarios="1" selectLockedCells="1"/>
  <mergeCells count="339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19:G119"/>
    <mergeCell ref="J58:N58"/>
    <mergeCell ref="C59:G59"/>
    <mergeCell ref="J59:N59"/>
    <mergeCell ref="C60:G60"/>
    <mergeCell ref="J60:N60"/>
    <mergeCell ref="B40:E40"/>
    <mergeCell ref="B54:D54"/>
    <mergeCell ref="C56:G56"/>
    <mergeCell ref="J56:N56"/>
    <mergeCell ref="C57:G57"/>
    <mergeCell ref="J57:N57"/>
    <mergeCell ref="J64:N64"/>
    <mergeCell ref="C65:G65"/>
    <mergeCell ref="J65:N65"/>
    <mergeCell ref="C66:G66"/>
    <mergeCell ref="C67:G67"/>
    <mergeCell ref="C61:G61"/>
    <mergeCell ref="J61:N61"/>
    <mergeCell ref="C62:G62"/>
    <mergeCell ref="J62:N62"/>
    <mergeCell ref="C63:G63"/>
    <mergeCell ref="J63:N63"/>
    <mergeCell ref="J88:N88"/>
    <mergeCell ref="C89:G89"/>
    <mergeCell ref="J89:N89"/>
    <mergeCell ref="C90:G90"/>
    <mergeCell ref="J90:N90"/>
    <mergeCell ref="C68:G68"/>
    <mergeCell ref="J68:N68"/>
    <mergeCell ref="B72:E72"/>
    <mergeCell ref="B85:D85"/>
    <mergeCell ref="C87:G87"/>
    <mergeCell ref="J87:N87"/>
    <mergeCell ref="J94:N94"/>
    <mergeCell ref="C95:G95"/>
    <mergeCell ref="J95:N95"/>
    <mergeCell ref="C96:G96"/>
    <mergeCell ref="J96:N96"/>
    <mergeCell ref="C91:G91"/>
    <mergeCell ref="J91:N91"/>
    <mergeCell ref="C92:G92"/>
    <mergeCell ref="J92:N92"/>
    <mergeCell ref="C93:G93"/>
    <mergeCell ref="J93:N93"/>
    <mergeCell ref="J119:N119"/>
    <mergeCell ref="J120:N120"/>
    <mergeCell ref="C121:G121"/>
    <mergeCell ref="J121:N121"/>
    <mergeCell ref="C97:G97"/>
    <mergeCell ref="J97:N97"/>
    <mergeCell ref="B102:F102"/>
    <mergeCell ref="B116:D116"/>
    <mergeCell ref="C118:G118"/>
    <mergeCell ref="J118:N118"/>
    <mergeCell ref="C98:G98"/>
    <mergeCell ref="C125:G125"/>
    <mergeCell ref="J125:N125"/>
    <mergeCell ref="C126:G126"/>
    <mergeCell ref="J126:N126"/>
    <mergeCell ref="C127:G127"/>
    <mergeCell ref="C128:G128"/>
    <mergeCell ref="J128:N128"/>
    <mergeCell ref="C122:G122"/>
    <mergeCell ref="J122:N122"/>
    <mergeCell ref="C123:G123"/>
    <mergeCell ref="J123:N123"/>
    <mergeCell ref="C124:G124"/>
    <mergeCell ref="J124:N124"/>
    <mergeCell ref="C149:G149"/>
    <mergeCell ref="J149:N149"/>
    <mergeCell ref="C150:G150"/>
    <mergeCell ref="J150:N150"/>
    <mergeCell ref="C151:G151"/>
    <mergeCell ref="J151:N151"/>
    <mergeCell ref="B134:F134"/>
    <mergeCell ref="B145:D145"/>
    <mergeCell ref="C147:G147"/>
    <mergeCell ref="J147:N147"/>
    <mergeCell ref="C148:G148"/>
    <mergeCell ref="J148:N148"/>
    <mergeCell ref="C155:G155"/>
    <mergeCell ref="J155:N155"/>
    <mergeCell ref="C156:G156"/>
    <mergeCell ref="J156:N156"/>
    <mergeCell ref="B160:F160"/>
    <mergeCell ref="B164:F164"/>
    <mergeCell ref="C152:G152"/>
    <mergeCell ref="J152:N152"/>
    <mergeCell ref="C153:G153"/>
    <mergeCell ref="J153:N153"/>
    <mergeCell ref="C154:G154"/>
    <mergeCell ref="J154:N154"/>
    <mergeCell ref="C173:G173"/>
    <mergeCell ref="J173:N173"/>
    <mergeCell ref="C174:G174"/>
    <mergeCell ref="J174:N174"/>
    <mergeCell ref="C175:G175"/>
    <mergeCell ref="J175:N175"/>
    <mergeCell ref="B168:D168"/>
    <mergeCell ref="C170:G170"/>
    <mergeCell ref="J170:N170"/>
    <mergeCell ref="C171:G171"/>
    <mergeCell ref="J171:N171"/>
    <mergeCell ref="C172:G172"/>
    <mergeCell ref="J172:N172"/>
    <mergeCell ref="C198:G198"/>
    <mergeCell ref="J198:N198"/>
    <mergeCell ref="C199:G199"/>
    <mergeCell ref="J199:N199"/>
    <mergeCell ref="C200:G200"/>
    <mergeCell ref="J200:N200"/>
    <mergeCell ref="B179:F179"/>
    <mergeCell ref="B191:D191"/>
    <mergeCell ref="B192:F192"/>
    <mergeCell ref="C196:G196"/>
    <mergeCell ref="J196:N196"/>
    <mergeCell ref="C197:G197"/>
    <mergeCell ref="J197:N197"/>
    <mergeCell ref="C204:G204"/>
    <mergeCell ref="J204:N204"/>
    <mergeCell ref="C205:G205"/>
    <mergeCell ref="J205:N205"/>
    <mergeCell ref="C206:G206"/>
    <mergeCell ref="J206:N206"/>
    <mergeCell ref="C201:G201"/>
    <mergeCell ref="J201:N201"/>
    <mergeCell ref="C202:G202"/>
    <mergeCell ref="J202:N202"/>
    <mergeCell ref="C203:G203"/>
    <mergeCell ref="J203:N203"/>
    <mergeCell ref="B216:F216"/>
    <mergeCell ref="B224:D224"/>
    <mergeCell ref="C226:G226"/>
    <mergeCell ref="J226:N226"/>
    <mergeCell ref="C227:G227"/>
    <mergeCell ref="J227:N227"/>
    <mergeCell ref="C207:G207"/>
    <mergeCell ref="J207:N207"/>
    <mergeCell ref="C208:G208"/>
    <mergeCell ref="C209:G209"/>
    <mergeCell ref="J209:N209"/>
    <mergeCell ref="B213:F213"/>
    <mergeCell ref="C231:G231"/>
    <mergeCell ref="J231:N231"/>
    <mergeCell ref="C232:G232"/>
    <mergeCell ref="J232:N232"/>
    <mergeCell ref="C233:G233"/>
    <mergeCell ref="J233:N233"/>
    <mergeCell ref="C228:G228"/>
    <mergeCell ref="J228:N228"/>
    <mergeCell ref="C229:G229"/>
    <mergeCell ref="J229:N229"/>
    <mergeCell ref="C230:G230"/>
    <mergeCell ref="J230:N230"/>
    <mergeCell ref="C273:G273"/>
    <mergeCell ref="J273:N273"/>
    <mergeCell ref="C274:G274"/>
    <mergeCell ref="J274:N274"/>
    <mergeCell ref="C275:G275"/>
    <mergeCell ref="J275:N275"/>
    <mergeCell ref="C234:G234"/>
    <mergeCell ref="J234:N234"/>
    <mergeCell ref="B238:C238"/>
    <mergeCell ref="B240:E240"/>
    <mergeCell ref="B270:D270"/>
    <mergeCell ref="C272:G272"/>
    <mergeCell ref="J272:N272"/>
    <mergeCell ref="C279:G279"/>
    <mergeCell ref="J279:N279"/>
    <mergeCell ref="C280:G280"/>
    <mergeCell ref="J280:N280"/>
    <mergeCell ref="C281:G281"/>
    <mergeCell ref="J281:N281"/>
    <mergeCell ref="C276:G276"/>
    <mergeCell ref="J276:N276"/>
    <mergeCell ref="C277:G277"/>
    <mergeCell ref="J277:N277"/>
    <mergeCell ref="C278:G278"/>
    <mergeCell ref="J278:N278"/>
    <mergeCell ref="C285:G285"/>
    <mergeCell ref="J285:N285"/>
    <mergeCell ref="C286:G286"/>
    <mergeCell ref="J286:N286"/>
    <mergeCell ref="C287:G287"/>
    <mergeCell ref="J287:N287"/>
    <mergeCell ref="C282:G282"/>
    <mergeCell ref="J282:N282"/>
    <mergeCell ref="C283:G283"/>
    <mergeCell ref="J283:N283"/>
    <mergeCell ref="C284:G284"/>
    <mergeCell ref="J284:N284"/>
    <mergeCell ref="C291:G291"/>
    <mergeCell ref="J291:N291"/>
    <mergeCell ref="C292:G292"/>
    <mergeCell ref="J292:N292"/>
    <mergeCell ref="C293:G293"/>
    <mergeCell ref="J293:N293"/>
    <mergeCell ref="C288:G288"/>
    <mergeCell ref="J288:N288"/>
    <mergeCell ref="C289:G289"/>
    <mergeCell ref="J289:N289"/>
    <mergeCell ref="C290:G290"/>
    <mergeCell ref="J290:N290"/>
    <mergeCell ref="C297:G297"/>
    <mergeCell ref="J297:N297"/>
    <mergeCell ref="C298:G298"/>
    <mergeCell ref="C299:G299"/>
    <mergeCell ref="C300:G300"/>
    <mergeCell ref="C294:G294"/>
    <mergeCell ref="J294:N294"/>
    <mergeCell ref="C295:G295"/>
    <mergeCell ref="J295:N295"/>
    <mergeCell ref="C296:G296"/>
    <mergeCell ref="J296:N296"/>
    <mergeCell ref="C339:G339"/>
    <mergeCell ref="J339:N339"/>
    <mergeCell ref="C340:G340"/>
    <mergeCell ref="J340:N340"/>
    <mergeCell ref="C341:G341"/>
    <mergeCell ref="J341:N341"/>
    <mergeCell ref="B304:F304"/>
    <mergeCell ref="B332:D332"/>
    <mergeCell ref="B333:F333"/>
    <mergeCell ref="C337:G337"/>
    <mergeCell ref="J337:N337"/>
    <mergeCell ref="C338:G338"/>
    <mergeCell ref="J338:N338"/>
    <mergeCell ref="C345:G345"/>
    <mergeCell ref="J345:N345"/>
    <mergeCell ref="C346:G346"/>
    <mergeCell ref="J346:N346"/>
    <mergeCell ref="C347:G347"/>
    <mergeCell ref="J347:N347"/>
    <mergeCell ref="C342:G342"/>
    <mergeCell ref="J342:N342"/>
    <mergeCell ref="C343:G343"/>
    <mergeCell ref="J343:N343"/>
    <mergeCell ref="C344:G344"/>
    <mergeCell ref="J344:N344"/>
    <mergeCell ref="C351:G351"/>
    <mergeCell ref="J351:N351"/>
    <mergeCell ref="C352:G352"/>
    <mergeCell ref="J352:N352"/>
    <mergeCell ref="C353:G353"/>
    <mergeCell ref="J353:N353"/>
    <mergeCell ref="C348:G348"/>
    <mergeCell ref="J348:N348"/>
    <mergeCell ref="C349:G349"/>
    <mergeCell ref="J349:N349"/>
    <mergeCell ref="C350:G350"/>
    <mergeCell ref="J350:N350"/>
    <mergeCell ref="C357:G357"/>
    <mergeCell ref="J357:N357"/>
    <mergeCell ref="C358:G358"/>
    <mergeCell ref="J358:N358"/>
    <mergeCell ref="C359:G359"/>
    <mergeCell ref="J359:N359"/>
    <mergeCell ref="C354:G354"/>
    <mergeCell ref="J354:N354"/>
    <mergeCell ref="C355:G355"/>
    <mergeCell ref="J355:N355"/>
    <mergeCell ref="C356:G356"/>
    <mergeCell ref="J356:N356"/>
    <mergeCell ref="J365:N365"/>
    <mergeCell ref="B369:F369"/>
    <mergeCell ref="B382:D382"/>
    <mergeCell ref="C360:G360"/>
    <mergeCell ref="J360:N360"/>
    <mergeCell ref="C361:G361"/>
    <mergeCell ref="J361:N361"/>
    <mergeCell ref="C362:G362"/>
    <mergeCell ref="J362:N362"/>
    <mergeCell ref="B383:F383"/>
    <mergeCell ref="C387:G387"/>
    <mergeCell ref="C388:G388"/>
    <mergeCell ref="C389:G389"/>
    <mergeCell ref="C390:G390"/>
    <mergeCell ref="C391:G391"/>
    <mergeCell ref="C363:G363"/>
    <mergeCell ref="C364:G364"/>
    <mergeCell ref="C365:G365"/>
    <mergeCell ref="B403:F403"/>
    <mergeCell ref="B406:F406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14:C14"/>
    <mergeCell ref="D14:G14"/>
    <mergeCell ref="C129:G129"/>
    <mergeCell ref="C130:G130"/>
    <mergeCell ref="C133:G133"/>
    <mergeCell ref="C423:G423"/>
    <mergeCell ref="J423:N423"/>
    <mergeCell ref="C424:G424"/>
    <mergeCell ref="J424:N424"/>
    <mergeCell ref="C420:G420"/>
    <mergeCell ref="J420:N420"/>
    <mergeCell ref="C421:G421"/>
    <mergeCell ref="J421:N421"/>
    <mergeCell ref="C422:G422"/>
    <mergeCell ref="J422:N422"/>
    <mergeCell ref="J416:N416"/>
    <mergeCell ref="C417:G417"/>
    <mergeCell ref="J417:N417"/>
    <mergeCell ref="C418:G418"/>
    <mergeCell ref="J418:N418"/>
    <mergeCell ref="C419:G419"/>
    <mergeCell ref="J419:N419"/>
    <mergeCell ref="C398:G398"/>
    <mergeCell ref="C399:G399"/>
  </mergeCells>
  <dataValidations count="1">
    <dataValidation type="decimal" operator="greaterThanOrEqual" allowBlank="1" showInputMessage="1" showErrorMessage="1" error="يسمح بإدخال أرقام فقط." sqref="E20:E26 E42:E53 E74:E85 E105:E116 E137:E145 B163:F164 E166:E168 E182:E191 E194:E195 B216:F216 E218:E224 E243:E270 E307:E332 E335:E336 E372:E382 E385:E386 B406:F406 E408:E414 E433:E445 E448:E460" xr:uid="{00000000-0002-0000-04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9:O472"/>
  <sheetViews>
    <sheetView showGridLines="0" rightToLeft="1" tabSelected="1" topLeftCell="A187" zoomScaleNormal="100" zoomScaleSheetLayoutView="100" workbookViewId="0">
      <selection activeCell="C229" sqref="C229:G229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1:10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0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0" x14ac:dyDescent="0.2">
      <c r="B11" s="107"/>
      <c r="C11" s="107"/>
      <c r="D11" s="107"/>
      <c r="E11" s="107"/>
      <c r="F11" s="107"/>
      <c r="G11" s="107"/>
    </row>
    <row r="12" spans="1:10" s="1" customFormat="1" ht="15.75" thickBot="1" x14ac:dyDescent="0.35">
      <c r="B12" s="108"/>
      <c r="C12" s="108"/>
      <c r="D12" s="108"/>
      <c r="E12" s="108"/>
      <c r="F12" s="108"/>
      <c r="G12" s="108"/>
    </row>
    <row r="13" spans="1:10" s="1" customFormat="1" ht="34.5" customHeight="1" thickTop="1" thickBot="1" x14ac:dyDescent="0.35">
      <c r="B13" s="85" t="s">
        <v>160</v>
      </c>
      <c r="C13" s="86"/>
      <c r="D13" s="86"/>
      <c r="E13" s="86"/>
      <c r="F13" s="86"/>
      <c r="G13" s="87"/>
      <c r="H13" s="2"/>
      <c r="I13" s="2"/>
      <c r="J13" s="2"/>
    </row>
    <row r="14" spans="1:10" s="1" customFormat="1" ht="34.5" customHeight="1" thickTop="1" thickBot="1" x14ac:dyDescent="0.4">
      <c r="B14" s="110" t="s">
        <v>167</v>
      </c>
      <c r="C14" s="110"/>
      <c r="D14" s="110" t="str">
        <f>يناير!D14</f>
        <v>الوجاجه</v>
      </c>
      <c r="E14" s="110"/>
      <c r="F14" s="110"/>
      <c r="G14" s="110"/>
      <c r="H14" s="2"/>
      <c r="I14" s="2"/>
      <c r="J14" s="2"/>
    </row>
    <row r="15" spans="1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1:10" s="5" customFormat="1" ht="21.75" thickTop="1" thickBot="1" x14ac:dyDescent="0.25">
      <c r="B16" s="100" t="s">
        <v>131</v>
      </c>
      <c r="C16" s="101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/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/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/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/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>
        <v>7</v>
      </c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/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/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7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67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 t="s">
        <v>249</v>
      </c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>
        <v>2</v>
      </c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>
        <v>2</v>
      </c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/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/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/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>
        <v>20</v>
      </c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/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/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/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/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/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/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24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 t="s">
        <v>180</v>
      </c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 t="s">
        <v>180</v>
      </c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 t="s">
        <v>250</v>
      </c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/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/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/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/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/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/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/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/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/>
    </row>
    <row r="83" spans="2:14" s="5" customFormat="1" thickTop="1" thickBot="1" x14ac:dyDescent="0.25">
      <c r="B83" s="6">
        <v>10</v>
      </c>
      <c r="C83" s="6" t="s">
        <v>125</v>
      </c>
      <c r="D83" s="6" t="s">
        <v>28</v>
      </c>
      <c r="E83" s="60"/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/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ht="16.5" customHeigh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</row>
    <row r="98" spans="2:14" s="5" customFormat="1" ht="19.5" customHeight="1" thickTop="1" thickBot="1" x14ac:dyDescent="0.25">
      <c r="B98" s="6">
        <v>11</v>
      </c>
      <c r="C98" s="67"/>
      <c r="D98" s="68"/>
      <c r="E98" s="68"/>
      <c r="F98" s="68"/>
      <c r="G98" s="69"/>
      <c r="H98" s="7"/>
      <c r="I98" s="7"/>
      <c r="J98" s="70"/>
      <c r="K98" s="70"/>
      <c r="L98" s="70"/>
      <c r="M98" s="70"/>
      <c r="N98" s="70"/>
    </row>
    <row r="99" spans="2:14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2.75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0">
        <v>452906</v>
      </c>
      <c r="F104" s="11">
        <f t="shared" ref="F104:F115" si="0">E104/1000</f>
        <v>452.90600000000001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0">
        <v>34712</v>
      </c>
      <c r="F105" s="11">
        <f t="shared" si="0"/>
        <v>34.712000000000003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0"/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0">
        <v>26044</v>
      </c>
      <c r="F107" s="11">
        <f t="shared" si="0"/>
        <v>26.044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0">
        <v>24365</v>
      </c>
      <c r="F108" s="11">
        <f t="shared" si="0"/>
        <v>24.364999999999998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0">
        <v>11095</v>
      </c>
      <c r="F109" s="11">
        <f t="shared" si="0"/>
        <v>11.095000000000001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0"/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0"/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0">
        <v>816042</v>
      </c>
      <c r="F112" s="11">
        <f t="shared" si="0"/>
        <v>816.04200000000003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0">
        <v>13</v>
      </c>
      <c r="F113" s="11">
        <f t="shared" si="0"/>
        <v>1.2999999999999999E-2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0"/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0"/>
      <c r="F115" s="11">
        <f t="shared" si="0"/>
        <v>0</v>
      </c>
      <c r="G115" s="13"/>
    </row>
    <row r="116" spans="2:14" s="5" customFormat="1" thickTop="1" thickBot="1" x14ac:dyDescent="0.25">
      <c r="B116" s="84" t="s">
        <v>80</v>
      </c>
      <c r="C116" s="84"/>
      <c r="D116" s="84"/>
      <c r="E116" s="36">
        <f>SUM(E104:E115)</f>
        <v>1365177</v>
      </c>
      <c r="F116" s="37">
        <f>SUM(F104:F115)</f>
        <v>1365.1770000000001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 t="s">
        <v>251</v>
      </c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7" t="s">
        <v>252</v>
      </c>
      <c r="D120" s="68"/>
      <c r="E120" s="68"/>
      <c r="F120" s="68"/>
      <c r="G120" s="69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 t="s">
        <v>253</v>
      </c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 t="s">
        <v>254</v>
      </c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 t="s">
        <v>255</v>
      </c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ht="16.5" customHeight="1" thickTop="1" thickBot="1" x14ac:dyDescent="0.25">
      <c r="B127" s="6">
        <v>9</v>
      </c>
      <c r="C127" s="67" t="s">
        <v>256</v>
      </c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 t="s">
        <v>180</v>
      </c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</row>
    <row r="129" spans="2:14" s="5" customFormat="1" ht="16.5" customHeigh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ht="16.5" customHeight="1" thickTop="1" thickBot="1" x14ac:dyDescent="0.25">
      <c r="B130" s="6">
        <v>12</v>
      </c>
      <c r="C130" s="67"/>
      <c r="D130" s="68"/>
      <c r="E130" s="68"/>
      <c r="F130" s="68"/>
      <c r="G130" s="69"/>
      <c r="H130" s="7"/>
      <c r="I130" s="7"/>
      <c r="J130" s="70"/>
      <c r="K130" s="70"/>
      <c r="L130" s="70"/>
      <c r="M130" s="70"/>
      <c r="N130" s="70"/>
    </row>
    <row r="131" spans="2:14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0"/>
      <c r="F136" s="11">
        <f>E136/1000</f>
        <v>0</v>
      </c>
    </row>
    <row r="137" spans="2:14" s="5" customFormat="1" thickTop="1" thickBot="1" x14ac:dyDescent="0.25">
      <c r="B137" s="6">
        <v>2</v>
      </c>
      <c r="C137" s="6" t="s">
        <v>57</v>
      </c>
      <c r="D137" s="6" t="s">
        <v>3</v>
      </c>
      <c r="E137" s="60"/>
      <c r="F137" s="11">
        <f t="shared" ref="F137:F144" si="1"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0"/>
      <c r="F138" s="11">
        <f t="shared" si="1"/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0"/>
      <c r="F139" s="11">
        <f t="shared" si="1"/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0"/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0"/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0"/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0"/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0"/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/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/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/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/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/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/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0">
        <v>26000</v>
      </c>
      <c r="F181" s="11">
        <f>E181/1000</f>
        <v>26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0"/>
      <c r="F182" s="11">
        <f t="shared" ref="F182:F190" si="3">E182/1000</f>
        <v>0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0"/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0"/>
      <c r="F184" s="11">
        <f t="shared" si="3"/>
        <v>0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0">
        <v>17086</v>
      </c>
      <c r="F185" s="11">
        <f t="shared" si="3"/>
        <v>17.085999999999999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0"/>
      <c r="F186" s="11">
        <f t="shared" si="3"/>
        <v>0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0"/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0"/>
      <c r="F188" s="11">
        <f t="shared" si="3"/>
        <v>0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0"/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0"/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43086</v>
      </c>
      <c r="F191" s="37">
        <f>SUM(F181:F190)</f>
        <v>43.085999999999999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/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/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 t="s">
        <v>180</v>
      </c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/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/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 t="s">
        <v>257</v>
      </c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/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/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thickTop="1" thickBot="1" x14ac:dyDescent="0.25">
      <c r="B215" s="6">
        <v>1</v>
      </c>
      <c r="C215" s="6" t="s">
        <v>20</v>
      </c>
      <c r="D215" s="6" t="s">
        <v>62</v>
      </c>
      <c r="E215" s="60">
        <v>5300000</v>
      </c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0">
        <v>24674</v>
      </c>
      <c r="F217" s="11">
        <f t="shared" ref="F217:F223" si="4">E217/1000</f>
        <v>24.673999999999999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0">
        <v>46981</v>
      </c>
      <c r="F218" s="11">
        <f t="shared" si="4"/>
        <v>46.981000000000002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0"/>
      <c r="F219" s="11">
        <f t="shared" si="4"/>
        <v>0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0"/>
      <c r="F220" s="11">
        <f t="shared" si="4"/>
        <v>0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0"/>
      <c r="F221" s="11">
        <f t="shared" si="4"/>
        <v>0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0"/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0"/>
      <c r="F223" s="11">
        <f t="shared" si="4"/>
        <v>0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71655</v>
      </c>
      <c r="F224" s="43">
        <f>SUM(F217:F223)</f>
        <v>71.655000000000001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 t="s">
        <v>258</v>
      </c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 t="s">
        <v>259</v>
      </c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 t="s">
        <v>260</v>
      </c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/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/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/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/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/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/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/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/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/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/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/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/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/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/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/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/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/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/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/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/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/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/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/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/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/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/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/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/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/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/>
    </row>
    <row r="268" spans="2:14" s="5" customFormat="1" thickTop="1" thickBot="1" x14ac:dyDescent="0.25">
      <c r="B268" s="6">
        <v>27</v>
      </c>
      <c r="C268" s="6" t="s">
        <v>127</v>
      </c>
      <c r="D268" s="6" t="s">
        <v>28</v>
      </c>
      <c r="E268" s="60"/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/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30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3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>
      <c r="B303" s="31"/>
    </row>
    <row r="304" spans="2:14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/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/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/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/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/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/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/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/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/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/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/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/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/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/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/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/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/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/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/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/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/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/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/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/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/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/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/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/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124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/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/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/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/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/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/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/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/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/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/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/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/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/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123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/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/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/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/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/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/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/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/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2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/>
      <c r="D432" s="62"/>
      <c r="E432" s="60"/>
      <c r="F432" s="59"/>
      <c r="G432" s="59"/>
      <c r="H432" s="59"/>
      <c r="I432" s="2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/>
      <c r="D433" s="59"/>
      <c r="E433" s="60"/>
      <c r="F433" s="59"/>
      <c r="G433" s="59"/>
      <c r="H433" s="59"/>
      <c r="I433" s="2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/>
      <c r="D434" s="59"/>
      <c r="E434" s="60"/>
      <c r="F434" s="59"/>
      <c r="G434" s="59"/>
      <c r="H434" s="59"/>
      <c r="I434" s="2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2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2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2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2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2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2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27"/>
      <c r="J441" s="27"/>
      <c r="K441" s="27"/>
      <c r="L441" s="27"/>
      <c r="M441" s="27"/>
    </row>
    <row r="442" spans="2:13" s="5" customFormat="1" thickTop="1" thickBo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104"/>
      <c r="C444" s="10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2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/>
      <c r="D447" s="62"/>
      <c r="E447" s="60"/>
      <c r="F447" s="59"/>
      <c r="G447" s="59"/>
      <c r="H447" s="59"/>
      <c r="I447" s="2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/>
      <c r="D448" s="59"/>
      <c r="E448" s="60"/>
      <c r="F448" s="59"/>
      <c r="G448" s="59"/>
      <c r="H448" s="59"/>
      <c r="I448" s="2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2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2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2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2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2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2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2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27"/>
      <c r="J456" s="27"/>
      <c r="K456" s="27"/>
      <c r="L456" s="27"/>
      <c r="M456" s="27"/>
    </row>
    <row r="457" spans="2:13" s="5" customFormat="1" thickTop="1" thickBot="1" x14ac:dyDescent="0.25"/>
    <row r="458" spans="2:13" s="5" customFormat="1" ht="13.5" thickTop="1" x14ac:dyDescent="0.2">
      <c r="B458" s="102" t="s">
        <v>153</v>
      </c>
      <c r="C458" s="103"/>
    </row>
    <row r="459" spans="2:13" s="5" customFormat="1" ht="13.5" thickBot="1" x14ac:dyDescent="0.25">
      <c r="B459" s="104"/>
      <c r="C459" s="105"/>
    </row>
    <row r="460" spans="2:13" s="5" customFormat="1" thickTop="1" thickBot="1" x14ac:dyDescent="0.25"/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2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2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2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2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2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2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2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2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2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/>
  </sheetData>
  <sheetProtection algorithmName="SHA-512" hashValue="TBA0McylO0Qh7JwyztuX9PNhPBviHgwf3CbCs8EuY6dHJ12SMuTbsQp7pCLTYSLKs0snnPTt78aRVtOyLeMqMA==" saltValue="643lABP31KxoMIv6gKNvDg==" spinCount="100000" sheet="1" objects="1" scenarios="1" selectLockedCells="1"/>
  <mergeCells count="339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19:G119"/>
    <mergeCell ref="J58:N58"/>
    <mergeCell ref="C59:G59"/>
    <mergeCell ref="J59:N59"/>
    <mergeCell ref="C60:G60"/>
    <mergeCell ref="J60:N60"/>
    <mergeCell ref="B40:E40"/>
    <mergeCell ref="B54:D54"/>
    <mergeCell ref="C56:G56"/>
    <mergeCell ref="J56:N56"/>
    <mergeCell ref="C57:G57"/>
    <mergeCell ref="J57:N57"/>
    <mergeCell ref="J64:N64"/>
    <mergeCell ref="C65:G65"/>
    <mergeCell ref="J65:N65"/>
    <mergeCell ref="C66:G66"/>
    <mergeCell ref="C67:G67"/>
    <mergeCell ref="C61:G61"/>
    <mergeCell ref="J61:N61"/>
    <mergeCell ref="C62:G62"/>
    <mergeCell ref="J62:N62"/>
    <mergeCell ref="C63:G63"/>
    <mergeCell ref="J63:N63"/>
    <mergeCell ref="J88:N88"/>
    <mergeCell ref="C89:G89"/>
    <mergeCell ref="J89:N89"/>
    <mergeCell ref="C90:G90"/>
    <mergeCell ref="J90:N90"/>
    <mergeCell ref="C68:G68"/>
    <mergeCell ref="J68:N68"/>
    <mergeCell ref="B72:E72"/>
    <mergeCell ref="B85:D85"/>
    <mergeCell ref="C87:G87"/>
    <mergeCell ref="J87:N87"/>
    <mergeCell ref="J94:N94"/>
    <mergeCell ref="C95:G95"/>
    <mergeCell ref="J95:N95"/>
    <mergeCell ref="C96:G96"/>
    <mergeCell ref="J96:N96"/>
    <mergeCell ref="C91:G91"/>
    <mergeCell ref="J91:N91"/>
    <mergeCell ref="C92:G92"/>
    <mergeCell ref="J92:N92"/>
    <mergeCell ref="C93:G93"/>
    <mergeCell ref="J93:N93"/>
    <mergeCell ref="J119:N119"/>
    <mergeCell ref="C120:G120"/>
    <mergeCell ref="J120:N120"/>
    <mergeCell ref="C121:G121"/>
    <mergeCell ref="J121:N121"/>
    <mergeCell ref="C98:G98"/>
    <mergeCell ref="J98:N98"/>
    <mergeCell ref="B102:F102"/>
    <mergeCell ref="B116:D116"/>
    <mergeCell ref="C118:G118"/>
    <mergeCell ref="J118:N118"/>
    <mergeCell ref="C125:G125"/>
    <mergeCell ref="J125:N125"/>
    <mergeCell ref="C126:G126"/>
    <mergeCell ref="J126:N126"/>
    <mergeCell ref="C127:G127"/>
    <mergeCell ref="C130:G130"/>
    <mergeCell ref="J130:N130"/>
    <mergeCell ref="C122:G122"/>
    <mergeCell ref="J122:N122"/>
    <mergeCell ref="C123:G123"/>
    <mergeCell ref="J123:N123"/>
    <mergeCell ref="C124:G124"/>
    <mergeCell ref="J124:N124"/>
    <mergeCell ref="C149:G149"/>
    <mergeCell ref="J149:N149"/>
    <mergeCell ref="C150:G150"/>
    <mergeCell ref="J150:N150"/>
    <mergeCell ref="C151:G151"/>
    <mergeCell ref="J151:N151"/>
    <mergeCell ref="B134:F134"/>
    <mergeCell ref="B145:D145"/>
    <mergeCell ref="C147:G147"/>
    <mergeCell ref="J147:N147"/>
    <mergeCell ref="C148:G148"/>
    <mergeCell ref="J148:N148"/>
    <mergeCell ref="C155:G155"/>
    <mergeCell ref="J155:N155"/>
    <mergeCell ref="C156:G156"/>
    <mergeCell ref="J156:N156"/>
    <mergeCell ref="B160:F160"/>
    <mergeCell ref="B164:F164"/>
    <mergeCell ref="C152:G152"/>
    <mergeCell ref="J152:N152"/>
    <mergeCell ref="C153:G153"/>
    <mergeCell ref="J153:N153"/>
    <mergeCell ref="C154:G154"/>
    <mergeCell ref="J154:N154"/>
    <mergeCell ref="C173:G173"/>
    <mergeCell ref="J173:N173"/>
    <mergeCell ref="C174:G174"/>
    <mergeCell ref="J174:N174"/>
    <mergeCell ref="C175:G175"/>
    <mergeCell ref="J175:N175"/>
    <mergeCell ref="B168:D168"/>
    <mergeCell ref="C170:G170"/>
    <mergeCell ref="J170:N170"/>
    <mergeCell ref="C171:G171"/>
    <mergeCell ref="J171:N171"/>
    <mergeCell ref="C172:G172"/>
    <mergeCell ref="J172:N172"/>
    <mergeCell ref="C198:G198"/>
    <mergeCell ref="J198:N198"/>
    <mergeCell ref="C199:G199"/>
    <mergeCell ref="J199:N199"/>
    <mergeCell ref="C200:G200"/>
    <mergeCell ref="J200:N200"/>
    <mergeCell ref="B179:F179"/>
    <mergeCell ref="B191:D191"/>
    <mergeCell ref="B192:F192"/>
    <mergeCell ref="C196:G196"/>
    <mergeCell ref="J196:N196"/>
    <mergeCell ref="C197:G197"/>
    <mergeCell ref="J197:N197"/>
    <mergeCell ref="C204:G204"/>
    <mergeCell ref="J204:N204"/>
    <mergeCell ref="C205:G205"/>
    <mergeCell ref="J205:N205"/>
    <mergeCell ref="C206:G206"/>
    <mergeCell ref="J206:N206"/>
    <mergeCell ref="C201:G201"/>
    <mergeCell ref="J201:N201"/>
    <mergeCell ref="C202:G202"/>
    <mergeCell ref="J202:N202"/>
    <mergeCell ref="C203:G203"/>
    <mergeCell ref="J203:N203"/>
    <mergeCell ref="B216:F216"/>
    <mergeCell ref="B224:D224"/>
    <mergeCell ref="C226:G226"/>
    <mergeCell ref="J226:N226"/>
    <mergeCell ref="C227:G227"/>
    <mergeCell ref="J227:N227"/>
    <mergeCell ref="C207:G207"/>
    <mergeCell ref="J207:N207"/>
    <mergeCell ref="C208:G208"/>
    <mergeCell ref="C209:G209"/>
    <mergeCell ref="J209:N209"/>
    <mergeCell ref="B213:F213"/>
    <mergeCell ref="C231:G231"/>
    <mergeCell ref="J231:N231"/>
    <mergeCell ref="C232:G232"/>
    <mergeCell ref="J232:N232"/>
    <mergeCell ref="C233:G233"/>
    <mergeCell ref="J233:N233"/>
    <mergeCell ref="C228:G228"/>
    <mergeCell ref="J228:N228"/>
    <mergeCell ref="C229:G229"/>
    <mergeCell ref="J229:N229"/>
    <mergeCell ref="C230:G230"/>
    <mergeCell ref="J230:N230"/>
    <mergeCell ref="C273:G273"/>
    <mergeCell ref="J273:N273"/>
    <mergeCell ref="C274:G274"/>
    <mergeCell ref="J274:N274"/>
    <mergeCell ref="C275:G275"/>
    <mergeCell ref="J275:N275"/>
    <mergeCell ref="C234:G234"/>
    <mergeCell ref="J234:N234"/>
    <mergeCell ref="B238:C238"/>
    <mergeCell ref="B240:E240"/>
    <mergeCell ref="B270:D270"/>
    <mergeCell ref="C272:G272"/>
    <mergeCell ref="J272:N272"/>
    <mergeCell ref="C279:G279"/>
    <mergeCell ref="J279:N279"/>
    <mergeCell ref="C280:G280"/>
    <mergeCell ref="J280:N280"/>
    <mergeCell ref="C281:G281"/>
    <mergeCell ref="J281:N281"/>
    <mergeCell ref="C276:G276"/>
    <mergeCell ref="J276:N276"/>
    <mergeCell ref="C277:G277"/>
    <mergeCell ref="J277:N277"/>
    <mergeCell ref="C278:G278"/>
    <mergeCell ref="J278:N278"/>
    <mergeCell ref="C285:G285"/>
    <mergeCell ref="J285:N285"/>
    <mergeCell ref="C286:G286"/>
    <mergeCell ref="J286:N286"/>
    <mergeCell ref="C287:G287"/>
    <mergeCell ref="J287:N287"/>
    <mergeCell ref="C282:G282"/>
    <mergeCell ref="J282:N282"/>
    <mergeCell ref="C283:G283"/>
    <mergeCell ref="J283:N283"/>
    <mergeCell ref="C284:G284"/>
    <mergeCell ref="J284:N284"/>
    <mergeCell ref="C291:G291"/>
    <mergeCell ref="J291:N291"/>
    <mergeCell ref="C292:G292"/>
    <mergeCell ref="J292:N292"/>
    <mergeCell ref="C293:G293"/>
    <mergeCell ref="J293:N293"/>
    <mergeCell ref="C288:G288"/>
    <mergeCell ref="J288:N288"/>
    <mergeCell ref="C289:G289"/>
    <mergeCell ref="J289:N289"/>
    <mergeCell ref="C290:G290"/>
    <mergeCell ref="J290:N290"/>
    <mergeCell ref="C297:G297"/>
    <mergeCell ref="J297:N297"/>
    <mergeCell ref="C298:G298"/>
    <mergeCell ref="C299:G299"/>
    <mergeCell ref="C300:G300"/>
    <mergeCell ref="C294:G294"/>
    <mergeCell ref="J294:N294"/>
    <mergeCell ref="C295:G295"/>
    <mergeCell ref="J295:N295"/>
    <mergeCell ref="C296:G296"/>
    <mergeCell ref="J296:N296"/>
    <mergeCell ref="C339:G339"/>
    <mergeCell ref="J339:N339"/>
    <mergeCell ref="C340:G340"/>
    <mergeCell ref="J340:N340"/>
    <mergeCell ref="C341:G341"/>
    <mergeCell ref="J341:N341"/>
    <mergeCell ref="B304:F304"/>
    <mergeCell ref="B332:D332"/>
    <mergeCell ref="B333:F333"/>
    <mergeCell ref="C337:G337"/>
    <mergeCell ref="J337:N337"/>
    <mergeCell ref="C338:G338"/>
    <mergeCell ref="J338:N338"/>
    <mergeCell ref="C345:G345"/>
    <mergeCell ref="J345:N345"/>
    <mergeCell ref="C346:G346"/>
    <mergeCell ref="J346:N346"/>
    <mergeCell ref="C347:G347"/>
    <mergeCell ref="J347:N347"/>
    <mergeCell ref="C342:G342"/>
    <mergeCell ref="J342:N342"/>
    <mergeCell ref="C343:G343"/>
    <mergeCell ref="J343:N343"/>
    <mergeCell ref="C344:G344"/>
    <mergeCell ref="J344:N344"/>
    <mergeCell ref="C351:G351"/>
    <mergeCell ref="J351:N351"/>
    <mergeCell ref="C352:G352"/>
    <mergeCell ref="J352:N352"/>
    <mergeCell ref="C353:G353"/>
    <mergeCell ref="J353:N353"/>
    <mergeCell ref="C348:G348"/>
    <mergeCell ref="J348:N348"/>
    <mergeCell ref="C349:G349"/>
    <mergeCell ref="J349:N349"/>
    <mergeCell ref="C350:G350"/>
    <mergeCell ref="J350:N350"/>
    <mergeCell ref="C357:G357"/>
    <mergeCell ref="J357:N357"/>
    <mergeCell ref="C358:G358"/>
    <mergeCell ref="J358:N358"/>
    <mergeCell ref="C359:G359"/>
    <mergeCell ref="J359:N359"/>
    <mergeCell ref="C354:G354"/>
    <mergeCell ref="J354:N354"/>
    <mergeCell ref="C355:G355"/>
    <mergeCell ref="J355:N355"/>
    <mergeCell ref="C356:G356"/>
    <mergeCell ref="J356:N356"/>
    <mergeCell ref="J365:N365"/>
    <mergeCell ref="B369:F369"/>
    <mergeCell ref="B382:D382"/>
    <mergeCell ref="C360:G360"/>
    <mergeCell ref="J360:N360"/>
    <mergeCell ref="C361:G361"/>
    <mergeCell ref="J361:N361"/>
    <mergeCell ref="C362:G362"/>
    <mergeCell ref="J362:N362"/>
    <mergeCell ref="B383:F383"/>
    <mergeCell ref="C387:G387"/>
    <mergeCell ref="C388:G388"/>
    <mergeCell ref="C389:G389"/>
    <mergeCell ref="C390:G390"/>
    <mergeCell ref="C391:G391"/>
    <mergeCell ref="C363:G363"/>
    <mergeCell ref="C364:G364"/>
    <mergeCell ref="C365:G365"/>
    <mergeCell ref="B403:F403"/>
    <mergeCell ref="B406:F406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14:C14"/>
    <mergeCell ref="D14:G14"/>
    <mergeCell ref="C97:G97"/>
    <mergeCell ref="C128:G128"/>
    <mergeCell ref="C129:G129"/>
    <mergeCell ref="C423:G423"/>
    <mergeCell ref="J423:N423"/>
    <mergeCell ref="C424:G424"/>
    <mergeCell ref="J424:N424"/>
    <mergeCell ref="C420:G420"/>
    <mergeCell ref="J420:N420"/>
    <mergeCell ref="C421:G421"/>
    <mergeCell ref="J421:N421"/>
    <mergeCell ref="C422:G422"/>
    <mergeCell ref="J422:N422"/>
    <mergeCell ref="J416:N416"/>
    <mergeCell ref="C417:G417"/>
    <mergeCell ref="J417:N417"/>
    <mergeCell ref="C418:G418"/>
    <mergeCell ref="J418:N418"/>
    <mergeCell ref="C419:G419"/>
    <mergeCell ref="J419:N419"/>
    <mergeCell ref="C398:G398"/>
    <mergeCell ref="C399:G399"/>
  </mergeCells>
  <dataValidations count="1">
    <dataValidation type="decimal" operator="greaterThanOrEqual" allowBlank="1" showInputMessage="1" showErrorMessage="1" error="يسمح بإدخال أرقام فقط." sqref="E20:E26 E42:E53 E74:E84 E104:E115 E136:E144 E162:E163 E165:E167 E181:E190 E193:E194 E215 E217:E223 E242:E269 E306:E331 E334:E335 E371:E381 E384:E385 E405 E407:E413 E432:E441 E447:E456" xr:uid="{00000000-0002-0000-05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9:O472"/>
  <sheetViews>
    <sheetView showGridLines="0" rightToLeft="1" topLeftCell="A206" zoomScaleNormal="100" zoomScaleSheetLayoutView="100" workbookViewId="0">
      <selection activeCell="C227" sqref="C227:G234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1:10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0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0" x14ac:dyDescent="0.2">
      <c r="B11" s="107"/>
      <c r="C11" s="107"/>
      <c r="D11" s="107"/>
      <c r="E11" s="107"/>
      <c r="F11" s="107"/>
      <c r="G11" s="107"/>
    </row>
    <row r="12" spans="1:10" s="1" customFormat="1" ht="15.75" thickBot="1" x14ac:dyDescent="0.35">
      <c r="B12" s="108"/>
      <c r="C12" s="108"/>
      <c r="D12" s="108"/>
      <c r="E12" s="108"/>
      <c r="F12" s="108"/>
      <c r="G12" s="108"/>
    </row>
    <row r="13" spans="1:10" s="1" customFormat="1" ht="34.5" customHeight="1" thickTop="1" thickBot="1" x14ac:dyDescent="0.35">
      <c r="B13" s="85" t="s">
        <v>159</v>
      </c>
      <c r="C13" s="86"/>
      <c r="D13" s="86"/>
      <c r="E13" s="86"/>
      <c r="F13" s="86"/>
      <c r="G13" s="87"/>
      <c r="H13" s="2"/>
      <c r="I13" s="2"/>
      <c r="J13" s="2"/>
    </row>
    <row r="14" spans="1:10" s="1" customFormat="1" ht="34.5" customHeight="1" thickTop="1" thickBot="1" x14ac:dyDescent="0.4">
      <c r="B14" s="110" t="s">
        <v>167</v>
      </c>
      <c r="C14" s="110"/>
      <c r="D14" s="110" t="str">
        <f>يناير!D14</f>
        <v>الوجاجه</v>
      </c>
      <c r="E14" s="110"/>
      <c r="F14" s="110"/>
      <c r="G14" s="110"/>
      <c r="H14" s="2"/>
      <c r="I14" s="2"/>
      <c r="J14" s="2"/>
    </row>
    <row r="15" spans="1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1:10" s="5" customFormat="1" ht="21.75" thickTop="1" thickBot="1" x14ac:dyDescent="0.25">
      <c r="B16" s="100" t="s">
        <v>131</v>
      </c>
      <c r="C16" s="101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>
        <v>0</v>
      </c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/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/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/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/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/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/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0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109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/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/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/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/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/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/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/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/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/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/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/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/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/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0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/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/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/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>
        <v>0</v>
      </c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>
        <v>0</v>
      </c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>
        <v>0</v>
      </c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>
        <v>0</v>
      </c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>
        <v>0</v>
      </c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>
        <v>0</v>
      </c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>
        <v>0</v>
      </c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>
        <v>0</v>
      </c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>
        <v>0</v>
      </c>
    </row>
    <row r="83" spans="2:14" s="5" customFormat="1" thickTop="1" thickBot="1" x14ac:dyDescent="0.25">
      <c r="B83" s="6">
        <v>10</v>
      </c>
      <c r="C83" s="6" t="s">
        <v>125</v>
      </c>
      <c r="D83" s="6" t="s">
        <v>28</v>
      </c>
      <c r="E83" s="60">
        <v>0</v>
      </c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>
        <v>0</v>
      </c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ht="16.5" customHeigh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</row>
    <row r="98" spans="2:14" s="5" customFormat="1" ht="19.5" customHeight="1" thickTop="1" thickBot="1" x14ac:dyDescent="0.25">
      <c r="B98" s="6">
        <v>11</v>
      </c>
      <c r="C98" s="67"/>
      <c r="D98" s="68"/>
      <c r="E98" s="68"/>
      <c r="F98" s="68"/>
      <c r="G98" s="69"/>
      <c r="H98" s="7"/>
      <c r="I98" s="7"/>
      <c r="J98" s="70"/>
      <c r="K98" s="70"/>
      <c r="L98" s="70"/>
      <c r="M98" s="70"/>
      <c r="N98" s="70"/>
    </row>
    <row r="99" spans="2:14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2.75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0"/>
      <c r="F104" s="11">
        <f t="shared" ref="F104:F115" si="0">E104/1000</f>
        <v>0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0"/>
      <c r="F105" s="11">
        <f t="shared" si="0"/>
        <v>0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0"/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0"/>
      <c r="F107" s="11">
        <f t="shared" si="0"/>
        <v>0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0"/>
      <c r="F108" s="11">
        <f t="shared" si="0"/>
        <v>0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0"/>
      <c r="F109" s="11">
        <f t="shared" si="0"/>
        <v>0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0"/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0"/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0"/>
      <c r="F112" s="11">
        <f t="shared" si="0"/>
        <v>0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0"/>
      <c r="F113" s="11">
        <f t="shared" si="0"/>
        <v>0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0"/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0"/>
      <c r="F115" s="11">
        <f t="shared" si="0"/>
        <v>0</v>
      </c>
      <c r="G115" s="13"/>
    </row>
    <row r="116" spans="2:14" s="5" customFormat="1" thickTop="1" thickBot="1" x14ac:dyDescent="0.25">
      <c r="B116" s="84" t="s">
        <v>80</v>
      </c>
      <c r="C116" s="84"/>
      <c r="D116" s="84"/>
      <c r="E116" s="36">
        <f>SUM(E104:E115)</f>
        <v>0</v>
      </c>
      <c r="F116" s="37">
        <f>SUM(F104:F115)</f>
        <v>0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/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7"/>
      <c r="D120" s="68"/>
      <c r="E120" s="68"/>
      <c r="F120" s="68"/>
      <c r="G120" s="69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/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/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/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ht="16.5" customHeight="1" thickTop="1" thickBot="1" x14ac:dyDescent="0.25">
      <c r="B127" s="6">
        <v>9</v>
      </c>
      <c r="C127" s="67"/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/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</row>
    <row r="129" spans="2:14" s="5" customFormat="1" ht="16.5" customHeigh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ht="16.5" customHeight="1" thickTop="1" thickBot="1" x14ac:dyDescent="0.25">
      <c r="B130" s="6">
        <v>12</v>
      </c>
      <c r="C130" s="67"/>
      <c r="D130" s="68"/>
      <c r="E130" s="68"/>
      <c r="F130" s="68"/>
      <c r="G130" s="69"/>
      <c r="H130" s="7"/>
      <c r="I130" s="7"/>
      <c r="J130" s="70"/>
      <c r="K130" s="70"/>
      <c r="L130" s="70"/>
      <c r="M130" s="70"/>
      <c r="N130" s="70"/>
    </row>
    <row r="131" spans="2:14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0"/>
      <c r="F136" s="11">
        <f>E136/1000</f>
        <v>0</v>
      </c>
    </row>
    <row r="137" spans="2:14" s="5" customFormat="1" thickTop="1" thickBot="1" x14ac:dyDescent="0.25">
      <c r="B137" s="6">
        <v>2</v>
      </c>
      <c r="C137" s="6" t="s">
        <v>57</v>
      </c>
      <c r="D137" s="6" t="s">
        <v>3</v>
      </c>
      <c r="E137" s="60"/>
      <c r="F137" s="11">
        <f t="shared" ref="F137:F144" si="1"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0"/>
      <c r="F138" s="11">
        <f t="shared" si="1"/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0"/>
      <c r="F139" s="11">
        <f t="shared" si="1"/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0"/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0"/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0"/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0"/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0"/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/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/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/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/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/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/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0"/>
      <c r="F181" s="11">
        <f>E181/1000</f>
        <v>0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0"/>
      <c r="F182" s="11">
        <f t="shared" ref="F182:F190" si="3">E182/1000</f>
        <v>0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0"/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0"/>
      <c r="F184" s="11">
        <f t="shared" si="3"/>
        <v>0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0"/>
      <c r="F185" s="11">
        <f t="shared" si="3"/>
        <v>0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0"/>
      <c r="F186" s="11">
        <f t="shared" si="3"/>
        <v>0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0"/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0"/>
      <c r="F188" s="11">
        <f t="shared" si="3"/>
        <v>0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0"/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0"/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0</v>
      </c>
      <c r="F191" s="37">
        <f>SUM(F181:F190)</f>
        <v>0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>
        <v>0</v>
      </c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>
        <v>0</v>
      </c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/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/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/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/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/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/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thickTop="1" thickBot="1" x14ac:dyDescent="0.25">
      <c r="B215" s="6">
        <v>1</v>
      </c>
      <c r="C215" s="6" t="s">
        <v>20</v>
      </c>
      <c r="D215" s="6" t="s">
        <v>62</v>
      </c>
      <c r="E215" s="60"/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0"/>
      <c r="F217" s="11">
        <f t="shared" ref="F217:F223" si="4">E217/1000</f>
        <v>0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0"/>
      <c r="F218" s="11">
        <f t="shared" si="4"/>
        <v>0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0"/>
      <c r="F219" s="11">
        <f t="shared" si="4"/>
        <v>0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0"/>
      <c r="F220" s="11">
        <f t="shared" si="4"/>
        <v>0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0"/>
      <c r="F221" s="11">
        <f t="shared" si="4"/>
        <v>0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0"/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0"/>
      <c r="F223" s="11">
        <f t="shared" si="4"/>
        <v>0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0</v>
      </c>
      <c r="F224" s="43">
        <f>SUM(F217:F223)</f>
        <v>0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/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/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/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/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/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/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/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>
        <v>0</v>
      </c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>
        <v>0</v>
      </c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>
        <v>0</v>
      </c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>
        <v>0</v>
      </c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>
        <v>0</v>
      </c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>
        <v>0</v>
      </c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>
        <v>0</v>
      </c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>
        <v>0</v>
      </c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>
        <v>0</v>
      </c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>
        <v>0</v>
      </c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>
        <v>0</v>
      </c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>
        <v>0</v>
      </c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>
        <v>0</v>
      </c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>
        <v>0</v>
      </c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>
        <v>0</v>
      </c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>
        <v>0</v>
      </c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>
        <v>0</v>
      </c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>
        <v>0</v>
      </c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>
        <v>0</v>
      </c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>
        <v>0</v>
      </c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>
        <v>0</v>
      </c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>
        <v>0</v>
      </c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>
        <v>0</v>
      </c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>
        <v>0</v>
      </c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>
        <v>0</v>
      </c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>
        <v>0</v>
      </c>
    </row>
    <row r="268" spans="2:14" s="5" customFormat="1" thickTop="1" thickBot="1" x14ac:dyDescent="0.25">
      <c r="B268" s="6">
        <v>27</v>
      </c>
      <c r="C268" s="6" t="s">
        <v>127</v>
      </c>
      <c r="D268" s="6" t="s">
        <v>28</v>
      </c>
      <c r="E268" s="60">
        <v>0</v>
      </c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>
        <v>0</v>
      </c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30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3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>
      <c r="B303" s="31"/>
    </row>
    <row r="304" spans="2:14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/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/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/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/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/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/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/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/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/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/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/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/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/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/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/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/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/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/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/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/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/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/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/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/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/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/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/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/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123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>
        <v>0</v>
      </c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>
        <v>0</v>
      </c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>
        <v>0</v>
      </c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>
        <v>0</v>
      </c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>
        <v>0</v>
      </c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>
        <v>0</v>
      </c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>
        <v>0</v>
      </c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>
        <v>0</v>
      </c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>
        <v>0</v>
      </c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>
        <v>0</v>
      </c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>
        <v>0</v>
      </c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/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/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123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/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>
        <v>0</v>
      </c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>
        <v>0</v>
      </c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>
        <v>0</v>
      </c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>
        <v>0</v>
      </c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>
        <v>0</v>
      </c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>
        <v>0</v>
      </c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>
        <v>0</v>
      </c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2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/>
      <c r="D432" s="62"/>
      <c r="E432" s="60"/>
      <c r="F432" s="59"/>
      <c r="G432" s="59"/>
      <c r="H432" s="59"/>
      <c r="I432" s="2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/>
      <c r="D433" s="59"/>
      <c r="E433" s="60"/>
      <c r="F433" s="59"/>
      <c r="G433" s="59"/>
      <c r="H433" s="59"/>
      <c r="I433" s="2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/>
      <c r="D434" s="59"/>
      <c r="E434" s="60"/>
      <c r="F434" s="59"/>
      <c r="G434" s="59"/>
      <c r="H434" s="59"/>
      <c r="I434" s="2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2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2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2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2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2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2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27"/>
      <c r="J441" s="27"/>
      <c r="K441" s="27"/>
      <c r="L441" s="27"/>
      <c r="M441" s="27"/>
    </row>
    <row r="442" spans="2:13" s="5" customFormat="1" thickTop="1" thickBo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104"/>
      <c r="C444" s="10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2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/>
      <c r="D447" s="59"/>
      <c r="E447" s="60"/>
      <c r="F447" s="59"/>
      <c r="G447" s="59"/>
      <c r="H447" s="59"/>
      <c r="I447" s="2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/>
      <c r="D448" s="59"/>
      <c r="E448" s="60"/>
      <c r="F448" s="59"/>
      <c r="G448" s="59"/>
      <c r="H448" s="59"/>
      <c r="I448" s="2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2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2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2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2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2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2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2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27"/>
      <c r="J456" s="27"/>
      <c r="K456" s="27"/>
      <c r="L456" s="27"/>
      <c r="M456" s="27"/>
    </row>
    <row r="457" spans="2:13" s="5" customFormat="1" thickTop="1" thickBot="1" x14ac:dyDescent="0.25"/>
    <row r="458" spans="2:13" s="5" customFormat="1" ht="13.5" thickTop="1" x14ac:dyDescent="0.2">
      <c r="B458" s="102" t="s">
        <v>153</v>
      </c>
      <c r="C458" s="103"/>
    </row>
    <row r="459" spans="2:13" s="5" customFormat="1" ht="13.5" thickBot="1" x14ac:dyDescent="0.25">
      <c r="B459" s="104"/>
      <c r="C459" s="105"/>
    </row>
    <row r="460" spans="2:13" s="5" customFormat="1" thickTop="1" thickBot="1" x14ac:dyDescent="0.25"/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2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2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2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2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2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2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2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2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2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/>
  </sheetData>
  <sheetProtection algorithmName="SHA-512" hashValue="P3fpMVRPAJ+CVu/5K1G/XY8XvT9mZ/fGX6RvY4WI0KhC2QklMo+LtP1VfuEgCbEdBeQmF2qUs8L/z+JSNed5gQ==" saltValue="ZapVREqRJcV50E1X4j5azA==" spinCount="100000" sheet="1" objects="1" scenarios="1" selectLockedCells="1"/>
  <mergeCells count="339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19:G119"/>
    <mergeCell ref="J58:N58"/>
    <mergeCell ref="C59:G59"/>
    <mergeCell ref="J59:N59"/>
    <mergeCell ref="C60:G60"/>
    <mergeCell ref="J60:N60"/>
    <mergeCell ref="B40:E40"/>
    <mergeCell ref="B54:D54"/>
    <mergeCell ref="C56:G56"/>
    <mergeCell ref="J56:N56"/>
    <mergeCell ref="C57:G57"/>
    <mergeCell ref="J57:N57"/>
    <mergeCell ref="J64:N64"/>
    <mergeCell ref="C65:G65"/>
    <mergeCell ref="J65:N65"/>
    <mergeCell ref="C66:G66"/>
    <mergeCell ref="C67:G67"/>
    <mergeCell ref="C61:G61"/>
    <mergeCell ref="J61:N61"/>
    <mergeCell ref="C62:G62"/>
    <mergeCell ref="J62:N62"/>
    <mergeCell ref="C63:G63"/>
    <mergeCell ref="J63:N63"/>
    <mergeCell ref="J88:N88"/>
    <mergeCell ref="C89:G89"/>
    <mergeCell ref="J89:N89"/>
    <mergeCell ref="C90:G90"/>
    <mergeCell ref="J90:N90"/>
    <mergeCell ref="C68:G68"/>
    <mergeCell ref="J68:N68"/>
    <mergeCell ref="B72:E72"/>
    <mergeCell ref="B85:D85"/>
    <mergeCell ref="C87:G87"/>
    <mergeCell ref="J87:N87"/>
    <mergeCell ref="J94:N94"/>
    <mergeCell ref="C95:G95"/>
    <mergeCell ref="J95:N95"/>
    <mergeCell ref="C96:G96"/>
    <mergeCell ref="J96:N96"/>
    <mergeCell ref="C91:G91"/>
    <mergeCell ref="J91:N91"/>
    <mergeCell ref="C92:G92"/>
    <mergeCell ref="J92:N92"/>
    <mergeCell ref="C93:G93"/>
    <mergeCell ref="J93:N93"/>
    <mergeCell ref="J119:N119"/>
    <mergeCell ref="C120:G120"/>
    <mergeCell ref="J120:N120"/>
    <mergeCell ref="C121:G121"/>
    <mergeCell ref="J121:N121"/>
    <mergeCell ref="C98:G98"/>
    <mergeCell ref="J98:N98"/>
    <mergeCell ref="B102:F102"/>
    <mergeCell ref="B116:D116"/>
    <mergeCell ref="C118:G118"/>
    <mergeCell ref="J118:N118"/>
    <mergeCell ref="C125:G125"/>
    <mergeCell ref="J125:N125"/>
    <mergeCell ref="C126:G126"/>
    <mergeCell ref="J126:N126"/>
    <mergeCell ref="C127:G127"/>
    <mergeCell ref="C130:G130"/>
    <mergeCell ref="J130:N130"/>
    <mergeCell ref="C122:G122"/>
    <mergeCell ref="J122:N122"/>
    <mergeCell ref="C123:G123"/>
    <mergeCell ref="J123:N123"/>
    <mergeCell ref="C124:G124"/>
    <mergeCell ref="J124:N124"/>
    <mergeCell ref="C149:G149"/>
    <mergeCell ref="J149:N149"/>
    <mergeCell ref="C150:G150"/>
    <mergeCell ref="J150:N150"/>
    <mergeCell ref="C151:G151"/>
    <mergeCell ref="J151:N151"/>
    <mergeCell ref="B134:F134"/>
    <mergeCell ref="B145:D145"/>
    <mergeCell ref="C147:G147"/>
    <mergeCell ref="J147:N147"/>
    <mergeCell ref="C148:G148"/>
    <mergeCell ref="J148:N148"/>
    <mergeCell ref="C155:G155"/>
    <mergeCell ref="J155:N155"/>
    <mergeCell ref="C156:G156"/>
    <mergeCell ref="J156:N156"/>
    <mergeCell ref="B160:F160"/>
    <mergeCell ref="B164:F164"/>
    <mergeCell ref="C152:G152"/>
    <mergeCell ref="J152:N152"/>
    <mergeCell ref="C153:G153"/>
    <mergeCell ref="J153:N153"/>
    <mergeCell ref="C154:G154"/>
    <mergeCell ref="J154:N154"/>
    <mergeCell ref="C173:G173"/>
    <mergeCell ref="J173:N173"/>
    <mergeCell ref="C174:G174"/>
    <mergeCell ref="J174:N174"/>
    <mergeCell ref="C175:G175"/>
    <mergeCell ref="J175:N175"/>
    <mergeCell ref="B168:D168"/>
    <mergeCell ref="C170:G170"/>
    <mergeCell ref="J170:N170"/>
    <mergeCell ref="C171:G171"/>
    <mergeCell ref="J171:N171"/>
    <mergeCell ref="C172:G172"/>
    <mergeCell ref="J172:N172"/>
    <mergeCell ref="C198:G198"/>
    <mergeCell ref="J198:N198"/>
    <mergeCell ref="C199:G199"/>
    <mergeCell ref="J199:N199"/>
    <mergeCell ref="C200:G200"/>
    <mergeCell ref="J200:N200"/>
    <mergeCell ref="B179:F179"/>
    <mergeCell ref="B191:D191"/>
    <mergeCell ref="B192:F192"/>
    <mergeCell ref="C196:G196"/>
    <mergeCell ref="J196:N196"/>
    <mergeCell ref="C197:G197"/>
    <mergeCell ref="J197:N197"/>
    <mergeCell ref="C204:G204"/>
    <mergeCell ref="J204:N204"/>
    <mergeCell ref="C205:G205"/>
    <mergeCell ref="J205:N205"/>
    <mergeCell ref="C206:G206"/>
    <mergeCell ref="J206:N206"/>
    <mergeCell ref="C201:G201"/>
    <mergeCell ref="J201:N201"/>
    <mergeCell ref="C202:G202"/>
    <mergeCell ref="J202:N202"/>
    <mergeCell ref="C203:G203"/>
    <mergeCell ref="J203:N203"/>
    <mergeCell ref="B216:F216"/>
    <mergeCell ref="B224:D224"/>
    <mergeCell ref="C226:G226"/>
    <mergeCell ref="J226:N226"/>
    <mergeCell ref="C227:G227"/>
    <mergeCell ref="J227:N227"/>
    <mergeCell ref="C207:G207"/>
    <mergeCell ref="J207:N207"/>
    <mergeCell ref="C208:G208"/>
    <mergeCell ref="C209:G209"/>
    <mergeCell ref="J209:N209"/>
    <mergeCell ref="B213:F213"/>
    <mergeCell ref="C231:G231"/>
    <mergeCell ref="J231:N231"/>
    <mergeCell ref="C232:G232"/>
    <mergeCell ref="J232:N232"/>
    <mergeCell ref="C233:G233"/>
    <mergeCell ref="J233:N233"/>
    <mergeCell ref="C228:G228"/>
    <mergeCell ref="J228:N228"/>
    <mergeCell ref="C229:G229"/>
    <mergeCell ref="J229:N229"/>
    <mergeCell ref="C230:G230"/>
    <mergeCell ref="J230:N230"/>
    <mergeCell ref="C273:G273"/>
    <mergeCell ref="J273:N273"/>
    <mergeCell ref="C274:G274"/>
    <mergeCell ref="J274:N274"/>
    <mergeCell ref="C275:G275"/>
    <mergeCell ref="J275:N275"/>
    <mergeCell ref="C234:G234"/>
    <mergeCell ref="J234:N234"/>
    <mergeCell ref="B238:C238"/>
    <mergeCell ref="B240:E240"/>
    <mergeCell ref="B270:D270"/>
    <mergeCell ref="C272:G272"/>
    <mergeCell ref="J272:N272"/>
    <mergeCell ref="C279:G279"/>
    <mergeCell ref="J279:N279"/>
    <mergeCell ref="C280:G280"/>
    <mergeCell ref="J280:N280"/>
    <mergeCell ref="C281:G281"/>
    <mergeCell ref="J281:N281"/>
    <mergeCell ref="C276:G276"/>
    <mergeCell ref="J276:N276"/>
    <mergeCell ref="C277:G277"/>
    <mergeCell ref="J277:N277"/>
    <mergeCell ref="C278:G278"/>
    <mergeCell ref="J278:N278"/>
    <mergeCell ref="C285:G285"/>
    <mergeCell ref="J285:N285"/>
    <mergeCell ref="C286:G286"/>
    <mergeCell ref="J286:N286"/>
    <mergeCell ref="C287:G287"/>
    <mergeCell ref="J287:N287"/>
    <mergeCell ref="C282:G282"/>
    <mergeCell ref="J282:N282"/>
    <mergeCell ref="C283:G283"/>
    <mergeCell ref="J283:N283"/>
    <mergeCell ref="C284:G284"/>
    <mergeCell ref="J284:N284"/>
    <mergeCell ref="C291:G291"/>
    <mergeCell ref="J291:N291"/>
    <mergeCell ref="C292:G292"/>
    <mergeCell ref="J292:N292"/>
    <mergeCell ref="C293:G293"/>
    <mergeCell ref="J293:N293"/>
    <mergeCell ref="C288:G288"/>
    <mergeCell ref="J288:N288"/>
    <mergeCell ref="C289:G289"/>
    <mergeCell ref="J289:N289"/>
    <mergeCell ref="C290:G290"/>
    <mergeCell ref="J290:N290"/>
    <mergeCell ref="C297:G297"/>
    <mergeCell ref="J297:N297"/>
    <mergeCell ref="C298:G298"/>
    <mergeCell ref="C299:G299"/>
    <mergeCell ref="C300:G300"/>
    <mergeCell ref="C294:G294"/>
    <mergeCell ref="J294:N294"/>
    <mergeCell ref="C295:G295"/>
    <mergeCell ref="J295:N295"/>
    <mergeCell ref="C296:G296"/>
    <mergeCell ref="J296:N296"/>
    <mergeCell ref="C339:G339"/>
    <mergeCell ref="J339:N339"/>
    <mergeCell ref="C340:G340"/>
    <mergeCell ref="J340:N340"/>
    <mergeCell ref="C341:G341"/>
    <mergeCell ref="J341:N341"/>
    <mergeCell ref="B304:F304"/>
    <mergeCell ref="B332:D332"/>
    <mergeCell ref="B333:F333"/>
    <mergeCell ref="C337:G337"/>
    <mergeCell ref="J337:N337"/>
    <mergeCell ref="C338:G338"/>
    <mergeCell ref="J338:N338"/>
    <mergeCell ref="C345:G345"/>
    <mergeCell ref="J345:N345"/>
    <mergeCell ref="C346:G346"/>
    <mergeCell ref="J346:N346"/>
    <mergeCell ref="C347:G347"/>
    <mergeCell ref="J347:N347"/>
    <mergeCell ref="C342:G342"/>
    <mergeCell ref="J342:N342"/>
    <mergeCell ref="C343:G343"/>
    <mergeCell ref="J343:N343"/>
    <mergeCell ref="C344:G344"/>
    <mergeCell ref="J344:N344"/>
    <mergeCell ref="C351:G351"/>
    <mergeCell ref="J351:N351"/>
    <mergeCell ref="C352:G352"/>
    <mergeCell ref="J352:N352"/>
    <mergeCell ref="C353:G353"/>
    <mergeCell ref="J353:N353"/>
    <mergeCell ref="C348:G348"/>
    <mergeCell ref="J348:N348"/>
    <mergeCell ref="C349:G349"/>
    <mergeCell ref="J349:N349"/>
    <mergeCell ref="C350:G350"/>
    <mergeCell ref="J350:N350"/>
    <mergeCell ref="C357:G357"/>
    <mergeCell ref="J357:N357"/>
    <mergeCell ref="C358:G358"/>
    <mergeCell ref="J358:N358"/>
    <mergeCell ref="C359:G359"/>
    <mergeCell ref="J359:N359"/>
    <mergeCell ref="C354:G354"/>
    <mergeCell ref="J354:N354"/>
    <mergeCell ref="C355:G355"/>
    <mergeCell ref="J355:N355"/>
    <mergeCell ref="C356:G356"/>
    <mergeCell ref="J356:N356"/>
    <mergeCell ref="J365:N365"/>
    <mergeCell ref="B369:F369"/>
    <mergeCell ref="B382:D382"/>
    <mergeCell ref="C360:G360"/>
    <mergeCell ref="J360:N360"/>
    <mergeCell ref="C361:G361"/>
    <mergeCell ref="J361:N361"/>
    <mergeCell ref="C362:G362"/>
    <mergeCell ref="J362:N362"/>
    <mergeCell ref="B383:F383"/>
    <mergeCell ref="C387:G387"/>
    <mergeCell ref="C388:G388"/>
    <mergeCell ref="C389:G389"/>
    <mergeCell ref="C390:G390"/>
    <mergeCell ref="C391:G391"/>
    <mergeCell ref="C363:G363"/>
    <mergeCell ref="C364:G364"/>
    <mergeCell ref="C365:G365"/>
    <mergeCell ref="B403:F403"/>
    <mergeCell ref="B406:F406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14:C14"/>
    <mergeCell ref="D14:G14"/>
    <mergeCell ref="C97:G97"/>
    <mergeCell ref="C128:G128"/>
    <mergeCell ref="C129:G129"/>
    <mergeCell ref="C423:G423"/>
    <mergeCell ref="J423:N423"/>
    <mergeCell ref="C424:G424"/>
    <mergeCell ref="J424:N424"/>
    <mergeCell ref="C420:G420"/>
    <mergeCell ref="J420:N420"/>
    <mergeCell ref="C421:G421"/>
    <mergeCell ref="J421:N421"/>
    <mergeCell ref="C422:G422"/>
    <mergeCell ref="J422:N422"/>
    <mergeCell ref="J416:N416"/>
    <mergeCell ref="C417:G417"/>
    <mergeCell ref="J417:N417"/>
    <mergeCell ref="C418:G418"/>
    <mergeCell ref="J418:N418"/>
    <mergeCell ref="C419:G419"/>
    <mergeCell ref="J419:N419"/>
    <mergeCell ref="C398:G398"/>
    <mergeCell ref="C399:G399"/>
  </mergeCells>
  <dataValidations count="1">
    <dataValidation type="decimal" operator="greaterThanOrEqual" allowBlank="1" showInputMessage="1" showErrorMessage="1" error="يسمح بإدخال أرقام فقط." sqref="E20:E26 E42:E53 E74:E84 E104:E115 E136:E144 E162:E163 E165:E167 E181:E190 E193:E194 E215 E217:E223 E242:E269 E306:E331 E334:E335 E371:E381 E384:E385 E405 E407:E413 E432:E441 E447:E456" xr:uid="{00000000-0002-0000-06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9:O472"/>
  <sheetViews>
    <sheetView showGridLines="0" rightToLeft="1" topLeftCell="A205" zoomScaleNormal="100" zoomScaleSheetLayoutView="100" workbookViewId="0">
      <selection activeCell="C227" sqref="C227:G233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1:10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0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0" x14ac:dyDescent="0.2">
      <c r="B11" s="107"/>
      <c r="C11" s="107"/>
      <c r="D11" s="107"/>
      <c r="E11" s="107"/>
      <c r="F11" s="107"/>
      <c r="G11" s="107"/>
    </row>
    <row r="12" spans="1:10" s="1" customFormat="1" ht="15.75" thickBot="1" x14ac:dyDescent="0.35">
      <c r="B12" s="108"/>
      <c r="C12" s="108"/>
      <c r="D12" s="108"/>
      <c r="E12" s="108"/>
      <c r="F12" s="108"/>
      <c r="G12" s="108"/>
    </row>
    <row r="13" spans="1:10" s="1" customFormat="1" ht="34.5" customHeight="1" thickTop="1" thickBot="1" x14ac:dyDescent="0.35">
      <c r="B13" s="85" t="s">
        <v>161</v>
      </c>
      <c r="C13" s="86"/>
      <c r="D13" s="86"/>
      <c r="E13" s="86"/>
      <c r="F13" s="86"/>
      <c r="G13" s="87"/>
      <c r="H13" s="2"/>
      <c r="I13" s="2"/>
      <c r="J13" s="2"/>
    </row>
    <row r="14" spans="1:10" s="1" customFormat="1" ht="34.5" customHeight="1" thickTop="1" thickBot="1" x14ac:dyDescent="0.4">
      <c r="B14" s="110" t="s">
        <v>167</v>
      </c>
      <c r="C14" s="110"/>
      <c r="D14" s="110" t="str">
        <f>يناير!D14</f>
        <v>الوجاجه</v>
      </c>
      <c r="E14" s="110"/>
      <c r="F14" s="110"/>
      <c r="G14" s="110"/>
      <c r="H14" s="2"/>
      <c r="I14" s="2"/>
      <c r="J14" s="2"/>
    </row>
    <row r="15" spans="1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1:10" s="5" customFormat="1" ht="21.75" thickTop="1" thickBot="1" x14ac:dyDescent="0.25">
      <c r="B16" s="100" t="s">
        <v>131</v>
      </c>
      <c r="C16" s="101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>
        <v>0</v>
      </c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>
        <v>0</v>
      </c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>
        <v>0</v>
      </c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>
        <v>0</v>
      </c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>
        <v>0</v>
      </c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>
        <v>0</v>
      </c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>
        <v>0</v>
      </c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0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109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/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>
        <v>0</v>
      </c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>
        <v>0</v>
      </c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>
        <v>0</v>
      </c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>
        <v>0</v>
      </c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>
        <v>0</v>
      </c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>
        <v>0</v>
      </c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>
        <v>0</v>
      </c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>
        <v>0</v>
      </c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>
        <v>0</v>
      </c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>
        <v>0</v>
      </c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>
        <v>0</v>
      </c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>
        <v>0</v>
      </c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0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/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/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/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>
        <v>0</v>
      </c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>
        <v>0</v>
      </c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>
        <v>0</v>
      </c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>
        <v>0</v>
      </c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>
        <v>0</v>
      </c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>
        <v>0</v>
      </c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>
        <v>0</v>
      </c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>
        <v>0</v>
      </c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>
        <v>0</v>
      </c>
    </row>
    <row r="83" spans="2:14" s="5" customFormat="1" thickTop="1" thickBot="1" x14ac:dyDescent="0.25">
      <c r="B83" s="6">
        <v>10</v>
      </c>
      <c r="C83" s="6" t="s">
        <v>125</v>
      </c>
      <c r="D83" s="6" t="s">
        <v>28</v>
      </c>
      <c r="E83" s="60">
        <v>0</v>
      </c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>
        <v>0</v>
      </c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ht="16.5" customHeigh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</row>
    <row r="98" spans="2:14" s="5" customFormat="1" ht="19.5" customHeight="1" thickTop="1" thickBot="1" x14ac:dyDescent="0.25">
      <c r="B98" s="6">
        <v>11</v>
      </c>
      <c r="C98" s="67"/>
      <c r="D98" s="68"/>
      <c r="E98" s="68"/>
      <c r="F98" s="68"/>
      <c r="G98" s="69"/>
      <c r="H98" s="7"/>
      <c r="I98" s="7"/>
      <c r="J98" s="70"/>
      <c r="K98" s="70"/>
      <c r="L98" s="70"/>
      <c r="M98" s="70"/>
      <c r="N98" s="70"/>
    </row>
    <row r="99" spans="2:14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2.75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0"/>
      <c r="F104" s="11">
        <f t="shared" ref="F104:F115" si="0">E104/1000</f>
        <v>0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0"/>
      <c r="F105" s="11">
        <f t="shared" si="0"/>
        <v>0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0"/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0"/>
      <c r="F107" s="11">
        <f t="shared" si="0"/>
        <v>0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0"/>
      <c r="F108" s="11">
        <f t="shared" si="0"/>
        <v>0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0"/>
      <c r="F109" s="11">
        <f t="shared" si="0"/>
        <v>0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0"/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0"/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0"/>
      <c r="F112" s="11">
        <f t="shared" si="0"/>
        <v>0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0"/>
      <c r="F113" s="11">
        <f t="shared" si="0"/>
        <v>0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0"/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0"/>
      <c r="F115" s="11">
        <f t="shared" si="0"/>
        <v>0</v>
      </c>
      <c r="G115" s="13"/>
    </row>
    <row r="116" spans="2:14" s="5" customFormat="1" thickTop="1" thickBot="1" x14ac:dyDescent="0.25">
      <c r="B116" s="84" t="s">
        <v>80</v>
      </c>
      <c r="C116" s="84"/>
      <c r="D116" s="84"/>
      <c r="E116" s="36">
        <f>SUM(E104:E115)</f>
        <v>0</v>
      </c>
      <c r="F116" s="37">
        <f>SUM(F104:F115)</f>
        <v>0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/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7"/>
      <c r="D120" s="68"/>
      <c r="E120" s="68"/>
      <c r="F120" s="68"/>
      <c r="G120" s="69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/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/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/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ht="16.5" customHeight="1" thickTop="1" thickBot="1" x14ac:dyDescent="0.25">
      <c r="B127" s="6">
        <v>9</v>
      </c>
      <c r="C127" s="67"/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/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</row>
    <row r="129" spans="2:14" s="5" customFormat="1" ht="16.5" customHeigh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ht="16.5" customHeight="1" thickTop="1" thickBot="1" x14ac:dyDescent="0.25">
      <c r="B130" s="6">
        <v>12</v>
      </c>
      <c r="C130" s="67"/>
      <c r="D130" s="68"/>
      <c r="E130" s="68"/>
      <c r="F130" s="68"/>
      <c r="G130" s="69"/>
      <c r="H130" s="7"/>
      <c r="I130" s="7"/>
      <c r="J130" s="70"/>
      <c r="K130" s="70"/>
      <c r="L130" s="70"/>
      <c r="M130" s="70"/>
      <c r="N130" s="70"/>
    </row>
    <row r="131" spans="2:14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0"/>
      <c r="F136" s="11">
        <f>E136/1000</f>
        <v>0</v>
      </c>
    </row>
    <row r="137" spans="2:14" s="5" customFormat="1" ht="21.75" thickTop="1" thickBot="1" x14ac:dyDescent="0.25">
      <c r="B137" s="6">
        <v>2</v>
      </c>
      <c r="C137" s="6" t="s">
        <v>57</v>
      </c>
      <c r="D137" s="6" t="s">
        <v>3</v>
      </c>
      <c r="E137" s="65"/>
      <c r="F137" s="11">
        <f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0"/>
      <c r="F138" s="11">
        <f t="shared" ref="F138:F144" si="1">E138/1000</f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0"/>
      <c r="F139" s="11">
        <f>E139/1000</f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0"/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0"/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0"/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0"/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0"/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/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/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/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/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/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/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0"/>
      <c r="F181" s="11">
        <f>E181/1000</f>
        <v>0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0"/>
      <c r="F182" s="11">
        <f t="shared" ref="F182:F190" si="3">E182/1000</f>
        <v>0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0"/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0"/>
      <c r="F184" s="11">
        <f t="shared" si="3"/>
        <v>0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0"/>
      <c r="F185" s="11">
        <f t="shared" si="3"/>
        <v>0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0"/>
      <c r="F186" s="11">
        <f t="shared" si="3"/>
        <v>0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0"/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0"/>
      <c r="F188" s="11">
        <f t="shared" si="3"/>
        <v>0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0"/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0"/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0</v>
      </c>
      <c r="F191" s="37">
        <f>SUM(F181:F190)</f>
        <v>0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/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/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/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/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/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/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/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/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thickTop="1" thickBot="1" x14ac:dyDescent="0.25">
      <c r="B215" s="6">
        <v>1</v>
      </c>
      <c r="C215" s="6" t="s">
        <v>20</v>
      </c>
      <c r="D215" s="6" t="s">
        <v>62</v>
      </c>
      <c r="E215" s="60">
        <v>0</v>
      </c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0"/>
      <c r="F217" s="11">
        <f t="shared" ref="F217:F223" si="4">E217/1000</f>
        <v>0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0"/>
      <c r="F218" s="11">
        <f t="shared" si="4"/>
        <v>0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0"/>
      <c r="F219" s="11">
        <f t="shared" si="4"/>
        <v>0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0"/>
      <c r="F220" s="11">
        <f t="shared" si="4"/>
        <v>0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0"/>
      <c r="F221" s="11">
        <f t="shared" si="4"/>
        <v>0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0"/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0"/>
      <c r="F223" s="11">
        <f t="shared" si="4"/>
        <v>0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0</v>
      </c>
      <c r="F224" s="43">
        <f>SUM(F217:F223)</f>
        <v>0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/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/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/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/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/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/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/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>
        <v>0</v>
      </c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>
        <v>0</v>
      </c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>
        <v>0</v>
      </c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>
        <v>0</v>
      </c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>
        <v>0</v>
      </c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>
        <v>0</v>
      </c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>
        <v>0</v>
      </c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>
        <v>0</v>
      </c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>
        <v>0</v>
      </c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>
        <v>0</v>
      </c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>
        <v>0</v>
      </c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>
        <v>0</v>
      </c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>
        <v>0</v>
      </c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>
        <v>0</v>
      </c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>
        <v>0</v>
      </c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>
        <v>0</v>
      </c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>
        <v>0</v>
      </c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>
        <v>0</v>
      </c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>
        <v>0</v>
      </c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>
        <v>0</v>
      </c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>
        <v>0</v>
      </c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>
        <v>0</v>
      </c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>
        <v>0</v>
      </c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>
        <v>0</v>
      </c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>
        <v>0</v>
      </c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>
        <v>0</v>
      </c>
    </row>
    <row r="268" spans="2:14" s="5" customFormat="1" thickTop="1" thickBot="1" x14ac:dyDescent="0.25">
      <c r="B268" s="6">
        <v>27</v>
      </c>
      <c r="C268" s="6" t="s">
        <v>127</v>
      </c>
      <c r="D268" s="6" t="s">
        <v>28</v>
      </c>
      <c r="E268" s="60">
        <v>0</v>
      </c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>
        <v>0</v>
      </c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30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3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>
      <c r="B303" s="31"/>
    </row>
    <row r="304" spans="2:14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/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/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/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/>
      <c r="F309" s="11">
        <f>E309/1000</f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/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/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/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/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/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/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/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/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/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/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/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/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/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/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/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/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/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/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/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/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/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/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/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/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123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>
        <v>0</v>
      </c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>
        <v>0</v>
      </c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>
        <v>0</v>
      </c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>
        <v>0</v>
      </c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>
        <v>0</v>
      </c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>
        <v>0</v>
      </c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>
        <v>0</v>
      </c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>
        <v>0</v>
      </c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>
        <v>0</v>
      </c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>
        <v>0</v>
      </c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>
        <v>0</v>
      </c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>
        <v>0</v>
      </c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>
        <v>0</v>
      </c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123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>
        <v>0</v>
      </c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>
        <v>0</v>
      </c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>
        <v>0</v>
      </c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>
        <v>0</v>
      </c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>
        <v>0</v>
      </c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>
        <v>0</v>
      </c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>
        <v>0</v>
      </c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>
        <v>0</v>
      </c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2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/>
      <c r="D432" s="62"/>
      <c r="E432" s="60"/>
      <c r="F432" s="59"/>
      <c r="G432" s="59"/>
      <c r="H432" s="59"/>
      <c r="I432" s="2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/>
      <c r="D433" s="62"/>
      <c r="E433" s="60"/>
      <c r="F433" s="59"/>
      <c r="G433" s="59"/>
      <c r="H433" s="59"/>
      <c r="I433" s="2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/>
      <c r="D434" s="59"/>
      <c r="E434" s="60"/>
      <c r="F434" s="59"/>
      <c r="G434" s="59"/>
      <c r="H434" s="59"/>
      <c r="I434" s="2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2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2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2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2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2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2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27"/>
      <c r="J441" s="27"/>
      <c r="K441" s="27"/>
      <c r="L441" s="27"/>
      <c r="M441" s="27"/>
    </row>
    <row r="442" spans="2:13" s="5" customFormat="1" thickTop="1" thickBo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104"/>
      <c r="C444" s="10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2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/>
      <c r="D447" s="62"/>
      <c r="E447" s="60"/>
      <c r="F447" s="59"/>
      <c r="G447" s="59"/>
      <c r="H447" s="59"/>
      <c r="I447" s="2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/>
      <c r="D448" s="59"/>
      <c r="E448" s="60"/>
      <c r="F448" s="59"/>
      <c r="G448" s="59"/>
      <c r="H448" s="59"/>
      <c r="I448" s="2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2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2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2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2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2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2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2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27"/>
      <c r="J456" s="27"/>
      <c r="K456" s="27"/>
      <c r="L456" s="27"/>
      <c r="M456" s="27"/>
    </row>
    <row r="457" spans="2:13" s="5" customFormat="1" thickTop="1" thickBot="1" x14ac:dyDescent="0.25"/>
    <row r="458" spans="2:13" s="5" customFormat="1" ht="13.5" thickTop="1" x14ac:dyDescent="0.2">
      <c r="B458" s="102" t="s">
        <v>153</v>
      </c>
      <c r="C458" s="103"/>
    </row>
    <row r="459" spans="2:13" s="5" customFormat="1" ht="13.5" thickBot="1" x14ac:dyDescent="0.25">
      <c r="B459" s="104"/>
      <c r="C459" s="105"/>
    </row>
    <row r="460" spans="2:13" s="5" customFormat="1" thickTop="1" thickBot="1" x14ac:dyDescent="0.25"/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2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2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2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2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2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2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2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2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2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/>
  </sheetData>
  <sheetProtection algorithmName="SHA-512" hashValue="IpYAVqkwUt8mo6URSCRQiORlb9OSxI8IozJjCS33bvAk9WI2yH8NnXFJtqwtX1tHwy0LlHoexzwKXM0IKq1YLw==" saltValue="i2stq8lAE53bGlmbCMG2gQ==" spinCount="100000" sheet="1" objects="1" scenarios="1"/>
  <mergeCells count="339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19:G119"/>
    <mergeCell ref="J58:N58"/>
    <mergeCell ref="C59:G59"/>
    <mergeCell ref="J59:N59"/>
    <mergeCell ref="C60:G60"/>
    <mergeCell ref="J60:N60"/>
    <mergeCell ref="B40:E40"/>
    <mergeCell ref="B54:D54"/>
    <mergeCell ref="C56:G56"/>
    <mergeCell ref="J56:N56"/>
    <mergeCell ref="C57:G57"/>
    <mergeCell ref="J57:N57"/>
    <mergeCell ref="J64:N64"/>
    <mergeCell ref="C65:G65"/>
    <mergeCell ref="J65:N65"/>
    <mergeCell ref="C66:G66"/>
    <mergeCell ref="C67:G67"/>
    <mergeCell ref="C61:G61"/>
    <mergeCell ref="J61:N61"/>
    <mergeCell ref="C62:G62"/>
    <mergeCell ref="J62:N62"/>
    <mergeCell ref="C63:G63"/>
    <mergeCell ref="J63:N63"/>
    <mergeCell ref="J88:N88"/>
    <mergeCell ref="C89:G89"/>
    <mergeCell ref="J89:N89"/>
    <mergeCell ref="C90:G90"/>
    <mergeCell ref="J90:N90"/>
    <mergeCell ref="C68:G68"/>
    <mergeCell ref="J68:N68"/>
    <mergeCell ref="B72:E72"/>
    <mergeCell ref="B85:D85"/>
    <mergeCell ref="C87:G87"/>
    <mergeCell ref="J87:N87"/>
    <mergeCell ref="J94:N94"/>
    <mergeCell ref="C95:G95"/>
    <mergeCell ref="J95:N95"/>
    <mergeCell ref="C96:G96"/>
    <mergeCell ref="J96:N96"/>
    <mergeCell ref="C91:G91"/>
    <mergeCell ref="J91:N91"/>
    <mergeCell ref="C92:G92"/>
    <mergeCell ref="J92:N92"/>
    <mergeCell ref="C93:G93"/>
    <mergeCell ref="J93:N93"/>
    <mergeCell ref="J119:N119"/>
    <mergeCell ref="C120:G120"/>
    <mergeCell ref="J120:N120"/>
    <mergeCell ref="C121:G121"/>
    <mergeCell ref="J121:N121"/>
    <mergeCell ref="C98:G98"/>
    <mergeCell ref="J98:N98"/>
    <mergeCell ref="B102:F102"/>
    <mergeCell ref="B116:D116"/>
    <mergeCell ref="C118:G118"/>
    <mergeCell ref="J118:N118"/>
    <mergeCell ref="C125:G125"/>
    <mergeCell ref="J125:N125"/>
    <mergeCell ref="C126:G126"/>
    <mergeCell ref="J126:N126"/>
    <mergeCell ref="C127:G127"/>
    <mergeCell ref="C130:G130"/>
    <mergeCell ref="J130:N130"/>
    <mergeCell ref="C122:G122"/>
    <mergeCell ref="J122:N122"/>
    <mergeCell ref="C123:G123"/>
    <mergeCell ref="J123:N123"/>
    <mergeCell ref="C124:G124"/>
    <mergeCell ref="J124:N124"/>
    <mergeCell ref="C149:G149"/>
    <mergeCell ref="J149:N149"/>
    <mergeCell ref="C150:G150"/>
    <mergeCell ref="J150:N150"/>
    <mergeCell ref="C151:G151"/>
    <mergeCell ref="J151:N151"/>
    <mergeCell ref="B134:F134"/>
    <mergeCell ref="B145:D145"/>
    <mergeCell ref="C147:G147"/>
    <mergeCell ref="J147:N147"/>
    <mergeCell ref="C148:G148"/>
    <mergeCell ref="J148:N148"/>
    <mergeCell ref="C155:G155"/>
    <mergeCell ref="J155:N155"/>
    <mergeCell ref="C156:G156"/>
    <mergeCell ref="J156:N156"/>
    <mergeCell ref="B160:F160"/>
    <mergeCell ref="B164:F164"/>
    <mergeCell ref="C152:G152"/>
    <mergeCell ref="J152:N152"/>
    <mergeCell ref="C153:G153"/>
    <mergeCell ref="J153:N153"/>
    <mergeCell ref="C154:G154"/>
    <mergeCell ref="J154:N154"/>
    <mergeCell ref="C173:G173"/>
    <mergeCell ref="J173:N173"/>
    <mergeCell ref="C174:G174"/>
    <mergeCell ref="J174:N174"/>
    <mergeCell ref="C175:G175"/>
    <mergeCell ref="J175:N175"/>
    <mergeCell ref="B168:D168"/>
    <mergeCell ref="C170:G170"/>
    <mergeCell ref="J170:N170"/>
    <mergeCell ref="C171:G171"/>
    <mergeCell ref="J171:N171"/>
    <mergeCell ref="C172:G172"/>
    <mergeCell ref="J172:N172"/>
    <mergeCell ref="C198:G198"/>
    <mergeCell ref="J198:N198"/>
    <mergeCell ref="C199:G199"/>
    <mergeCell ref="J199:N199"/>
    <mergeCell ref="C200:G200"/>
    <mergeCell ref="J200:N200"/>
    <mergeCell ref="B179:F179"/>
    <mergeCell ref="B191:D191"/>
    <mergeCell ref="B192:F192"/>
    <mergeCell ref="C196:G196"/>
    <mergeCell ref="J196:N196"/>
    <mergeCell ref="C197:G197"/>
    <mergeCell ref="J197:N197"/>
    <mergeCell ref="C204:G204"/>
    <mergeCell ref="J204:N204"/>
    <mergeCell ref="C205:G205"/>
    <mergeCell ref="J205:N205"/>
    <mergeCell ref="C206:G206"/>
    <mergeCell ref="J206:N206"/>
    <mergeCell ref="C201:G201"/>
    <mergeCell ref="J201:N201"/>
    <mergeCell ref="C202:G202"/>
    <mergeCell ref="J202:N202"/>
    <mergeCell ref="C203:G203"/>
    <mergeCell ref="J203:N203"/>
    <mergeCell ref="B216:F216"/>
    <mergeCell ref="B224:D224"/>
    <mergeCell ref="C226:G226"/>
    <mergeCell ref="J226:N226"/>
    <mergeCell ref="C227:G227"/>
    <mergeCell ref="J227:N227"/>
    <mergeCell ref="C207:G207"/>
    <mergeCell ref="J207:N207"/>
    <mergeCell ref="C208:G208"/>
    <mergeCell ref="C209:G209"/>
    <mergeCell ref="J209:N209"/>
    <mergeCell ref="B213:F213"/>
    <mergeCell ref="C231:G231"/>
    <mergeCell ref="J231:N231"/>
    <mergeCell ref="C232:G232"/>
    <mergeCell ref="J232:N232"/>
    <mergeCell ref="C233:G233"/>
    <mergeCell ref="J233:N233"/>
    <mergeCell ref="C228:G228"/>
    <mergeCell ref="J228:N228"/>
    <mergeCell ref="C229:G229"/>
    <mergeCell ref="J229:N229"/>
    <mergeCell ref="C230:G230"/>
    <mergeCell ref="J230:N230"/>
    <mergeCell ref="C273:G273"/>
    <mergeCell ref="J273:N273"/>
    <mergeCell ref="C274:G274"/>
    <mergeCell ref="J274:N274"/>
    <mergeCell ref="C275:G275"/>
    <mergeCell ref="J275:N275"/>
    <mergeCell ref="C234:G234"/>
    <mergeCell ref="J234:N234"/>
    <mergeCell ref="B238:C238"/>
    <mergeCell ref="B240:E240"/>
    <mergeCell ref="B270:D270"/>
    <mergeCell ref="C272:G272"/>
    <mergeCell ref="J272:N272"/>
    <mergeCell ref="C279:G279"/>
    <mergeCell ref="J279:N279"/>
    <mergeCell ref="C280:G280"/>
    <mergeCell ref="J280:N280"/>
    <mergeCell ref="C281:G281"/>
    <mergeCell ref="J281:N281"/>
    <mergeCell ref="C276:G276"/>
    <mergeCell ref="J276:N276"/>
    <mergeCell ref="C277:G277"/>
    <mergeCell ref="J277:N277"/>
    <mergeCell ref="C278:G278"/>
    <mergeCell ref="J278:N278"/>
    <mergeCell ref="C285:G285"/>
    <mergeCell ref="J285:N285"/>
    <mergeCell ref="C286:G286"/>
    <mergeCell ref="J286:N286"/>
    <mergeCell ref="C287:G287"/>
    <mergeCell ref="J287:N287"/>
    <mergeCell ref="C282:G282"/>
    <mergeCell ref="J282:N282"/>
    <mergeCell ref="C283:G283"/>
    <mergeCell ref="J283:N283"/>
    <mergeCell ref="C284:G284"/>
    <mergeCell ref="J284:N284"/>
    <mergeCell ref="C291:G291"/>
    <mergeCell ref="J291:N291"/>
    <mergeCell ref="C292:G292"/>
    <mergeCell ref="J292:N292"/>
    <mergeCell ref="C293:G293"/>
    <mergeCell ref="J293:N293"/>
    <mergeCell ref="C288:G288"/>
    <mergeCell ref="J288:N288"/>
    <mergeCell ref="C289:G289"/>
    <mergeCell ref="J289:N289"/>
    <mergeCell ref="C290:G290"/>
    <mergeCell ref="J290:N290"/>
    <mergeCell ref="C297:G297"/>
    <mergeCell ref="J297:N297"/>
    <mergeCell ref="C298:G298"/>
    <mergeCell ref="C299:G299"/>
    <mergeCell ref="C300:G300"/>
    <mergeCell ref="C294:G294"/>
    <mergeCell ref="J294:N294"/>
    <mergeCell ref="C295:G295"/>
    <mergeCell ref="J295:N295"/>
    <mergeCell ref="C296:G296"/>
    <mergeCell ref="J296:N296"/>
    <mergeCell ref="C339:G339"/>
    <mergeCell ref="J339:N339"/>
    <mergeCell ref="C340:G340"/>
    <mergeCell ref="J340:N340"/>
    <mergeCell ref="C341:G341"/>
    <mergeCell ref="J341:N341"/>
    <mergeCell ref="B304:F304"/>
    <mergeCell ref="B332:D332"/>
    <mergeCell ref="B333:F333"/>
    <mergeCell ref="C337:G337"/>
    <mergeCell ref="J337:N337"/>
    <mergeCell ref="C338:G338"/>
    <mergeCell ref="J338:N338"/>
    <mergeCell ref="C345:G345"/>
    <mergeCell ref="J345:N345"/>
    <mergeCell ref="C346:G346"/>
    <mergeCell ref="J346:N346"/>
    <mergeCell ref="C347:G347"/>
    <mergeCell ref="J347:N347"/>
    <mergeCell ref="C342:G342"/>
    <mergeCell ref="J342:N342"/>
    <mergeCell ref="C343:G343"/>
    <mergeCell ref="J343:N343"/>
    <mergeCell ref="C344:G344"/>
    <mergeCell ref="J344:N344"/>
    <mergeCell ref="C351:G351"/>
    <mergeCell ref="J351:N351"/>
    <mergeCell ref="C352:G352"/>
    <mergeCell ref="J352:N352"/>
    <mergeCell ref="C353:G353"/>
    <mergeCell ref="J353:N353"/>
    <mergeCell ref="C348:G348"/>
    <mergeCell ref="J348:N348"/>
    <mergeCell ref="C349:G349"/>
    <mergeCell ref="J349:N349"/>
    <mergeCell ref="C350:G350"/>
    <mergeCell ref="J350:N350"/>
    <mergeCell ref="C357:G357"/>
    <mergeCell ref="J357:N357"/>
    <mergeCell ref="C358:G358"/>
    <mergeCell ref="J358:N358"/>
    <mergeCell ref="C359:G359"/>
    <mergeCell ref="J359:N359"/>
    <mergeCell ref="C354:G354"/>
    <mergeCell ref="J354:N354"/>
    <mergeCell ref="C355:G355"/>
    <mergeCell ref="J355:N355"/>
    <mergeCell ref="C356:G356"/>
    <mergeCell ref="J356:N356"/>
    <mergeCell ref="J365:N365"/>
    <mergeCell ref="B369:F369"/>
    <mergeCell ref="B382:D382"/>
    <mergeCell ref="C360:G360"/>
    <mergeCell ref="J360:N360"/>
    <mergeCell ref="C361:G361"/>
    <mergeCell ref="J361:N361"/>
    <mergeCell ref="C362:G362"/>
    <mergeCell ref="J362:N362"/>
    <mergeCell ref="B383:F383"/>
    <mergeCell ref="C387:G387"/>
    <mergeCell ref="C388:G388"/>
    <mergeCell ref="C389:G389"/>
    <mergeCell ref="C390:G390"/>
    <mergeCell ref="C391:G391"/>
    <mergeCell ref="C363:G363"/>
    <mergeCell ref="C364:G364"/>
    <mergeCell ref="C365:G365"/>
    <mergeCell ref="B403:F403"/>
    <mergeCell ref="B406:F406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14:C14"/>
    <mergeCell ref="D14:G14"/>
    <mergeCell ref="C97:G97"/>
    <mergeCell ref="C128:G128"/>
    <mergeCell ref="C129:G129"/>
    <mergeCell ref="C423:G423"/>
    <mergeCell ref="J423:N423"/>
    <mergeCell ref="C424:G424"/>
    <mergeCell ref="J424:N424"/>
    <mergeCell ref="C420:G420"/>
    <mergeCell ref="J420:N420"/>
    <mergeCell ref="C421:G421"/>
    <mergeCell ref="J421:N421"/>
    <mergeCell ref="C422:G422"/>
    <mergeCell ref="J422:N422"/>
    <mergeCell ref="J416:N416"/>
    <mergeCell ref="C417:G417"/>
    <mergeCell ref="J417:N417"/>
    <mergeCell ref="C418:G418"/>
    <mergeCell ref="J418:N418"/>
    <mergeCell ref="C419:G419"/>
    <mergeCell ref="J419:N419"/>
    <mergeCell ref="C398:G398"/>
    <mergeCell ref="C399:G399"/>
  </mergeCells>
  <dataValidations count="1">
    <dataValidation type="decimal" operator="greaterThanOrEqual" allowBlank="1" showInputMessage="1" showErrorMessage="1" error="يسمح بإدخال أرقام فقط." sqref="E20:E26 E42:E53 E74:E84 E104:E115 E447:E456 E162:E163 E165:E167 E181:E190 E193:E194 E215 E217:E223 E242:E269 E306:E331 E334:E335 E371:E381 E384:E385 E405 E407:E413 E432:E441 E136 E138:E144" xr:uid="{00000000-0002-0000-07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9:O472"/>
  <sheetViews>
    <sheetView showGridLines="0" rightToLeft="1" topLeftCell="A212" zoomScaleNormal="100" zoomScaleSheetLayoutView="100" workbookViewId="0">
      <selection activeCell="C227" sqref="C227:G233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1:10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0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0" x14ac:dyDescent="0.2">
      <c r="B11" s="107"/>
      <c r="C11" s="107"/>
      <c r="D11" s="107"/>
      <c r="E11" s="107"/>
      <c r="F11" s="107"/>
      <c r="G11" s="107"/>
    </row>
    <row r="12" spans="1:10" s="1" customFormat="1" ht="15.75" thickBot="1" x14ac:dyDescent="0.35">
      <c r="B12" s="108"/>
      <c r="C12" s="108"/>
      <c r="D12" s="108"/>
      <c r="E12" s="108"/>
      <c r="F12" s="108"/>
      <c r="G12" s="108"/>
    </row>
    <row r="13" spans="1:10" s="1" customFormat="1" ht="34.5" customHeight="1" thickTop="1" thickBot="1" x14ac:dyDescent="0.35">
      <c r="B13" s="85" t="s">
        <v>162</v>
      </c>
      <c r="C13" s="86"/>
      <c r="D13" s="86"/>
      <c r="E13" s="86"/>
      <c r="F13" s="86"/>
      <c r="G13" s="87"/>
      <c r="H13" s="2"/>
      <c r="I13" s="2"/>
      <c r="J13" s="2"/>
    </row>
    <row r="14" spans="1:10" s="1" customFormat="1" ht="34.5" customHeight="1" thickTop="1" thickBot="1" x14ac:dyDescent="0.4">
      <c r="B14" s="110" t="s">
        <v>167</v>
      </c>
      <c r="C14" s="110"/>
      <c r="D14" s="110" t="str">
        <f>يناير!D14</f>
        <v>الوجاجه</v>
      </c>
      <c r="E14" s="110"/>
      <c r="F14" s="110"/>
      <c r="G14" s="110"/>
      <c r="H14" s="2"/>
      <c r="I14" s="2"/>
      <c r="J14" s="2"/>
    </row>
    <row r="15" spans="1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1:10" s="5" customFormat="1" ht="21.75" thickTop="1" thickBot="1" x14ac:dyDescent="0.25">
      <c r="B16" s="100" t="s">
        <v>131</v>
      </c>
      <c r="C16" s="101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>
        <v>0</v>
      </c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>
        <v>0</v>
      </c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>
        <v>0</v>
      </c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>
        <v>0</v>
      </c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>
        <v>0</v>
      </c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>
        <v>0</v>
      </c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>
        <v>0</v>
      </c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0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67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/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>
        <v>0</v>
      </c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>
        <v>0</v>
      </c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>
        <v>0</v>
      </c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>
        <v>0</v>
      </c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>
        <v>0</v>
      </c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>
        <v>0</v>
      </c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>
        <v>0</v>
      </c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>
        <v>0</v>
      </c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>
        <v>0</v>
      </c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>
        <v>0</v>
      </c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>
        <v>0</v>
      </c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>
        <v>0</v>
      </c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0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/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/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/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>
        <v>0</v>
      </c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>
        <v>0</v>
      </c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>
        <v>0</v>
      </c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>
        <v>0</v>
      </c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>
        <v>0</v>
      </c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>
        <v>0</v>
      </c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>
        <v>0</v>
      </c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>
        <v>0</v>
      </c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>
        <v>0</v>
      </c>
    </row>
    <row r="83" spans="2:14" s="5" customFormat="1" thickTop="1" thickBot="1" x14ac:dyDescent="0.25">
      <c r="B83" s="6">
        <v>10</v>
      </c>
      <c r="C83" s="6" t="s">
        <v>125</v>
      </c>
      <c r="D83" s="6" t="s">
        <v>28</v>
      </c>
      <c r="E83" s="60">
        <v>0</v>
      </c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>
        <v>0</v>
      </c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ht="16.5" customHeigh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</row>
    <row r="98" spans="2:14" s="5" customFormat="1" ht="19.5" customHeight="1" thickTop="1" thickBot="1" x14ac:dyDescent="0.25">
      <c r="B98" s="6">
        <v>11</v>
      </c>
      <c r="C98" s="67"/>
      <c r="D98" s="68"/>
      <c r="E98" s="68"/>
      <c r="F98" s="68"/>
      <c r="G98" s="69"/>
      <c r="H98" s="7"/>
      <c r="I98" s="7"/>
      <c r="J98" s="70"/>
      <c r="K98" s="70"/>
      <c r="L98" s="70"/>
      <c r="M98" s="70"/>
      <c r="N98" s="70"/>
    </row>
    <row r="99" spans="2:14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2.75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0"/>
      <c r="F104" s="11">
        <f t="shared" ref="F104:F115" si="0">E104/1000</f>
        <v>0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0"/>
      <c r="F105" s="11">
        <f t="shared" si="0"/>
        <v>0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0"/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0"/>
      <c r="F107" s="11">
        <f t="shared" si="0"/>
        <v>0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0"/>
      <c r="F108" s="11">
        <f t="shared" si="0"/>
        <v>0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0"/>
      <c r="F109" s="11">
        <f t="shared" si="0"/>
        <v>0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0"/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0"/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0"/>
      <c r="F112" s="11">
        <f t="shared" si="0"/>
        <v>0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0"/>
      <c r="F113" s="11">
        <f t="shared" si="0"/>
        <v>0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0"/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0"/>
      <c r="F115" s="11">
        <f t="shared" si="0"/>
        <v>0</v>
      </c>
      <c r="G115" s="13"/>
    </row>
    <row r="116" spans="2:14" s="5" customFormat="1" thickTop="1" thickBot="1" x14ac:dyDescent="0.25">
      <c r="B116" s="84" t="s">
        <v>80</v>
      </c>
      <c r="C116" s="84"/>
      <c r="D116" s="84"/>
      <c r="E116" s="36">
        <f>SUM(E104:E115)</f>
        <v>0</v>
      </c>
      <c r="F116" s="37">
        <f>SUM(F104:F115)</f>
        <v>0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/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7"/>
      <c r="D120" s="68"/>
      <c r="E120" s="68"/>
      <c r="F120" s="68"/>
      <c r="G120" s="69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/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/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/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ht="16.5" customHeight="1" thickTop="1" thickBot="1" x14ac:dyDescent="0.25">
      <c r="B127" s="6">
        <v>9</v>
      </c>
      <c r="C127" s="67"/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/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</row>
    <row r="129" spans="2:14" s="5" customFormat="1" ht="16.5" customHeigh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ht="16.5" customHeight="1" thickTop="1" thickBot="1" x14ac:dyDescent="0.25">
      <c r="B130" s="6">
        <v>12</v>
      </c>
      <c r="C130" s="67"/>
      <c r="D130" s="68"/>
      <c r="E130" s="68"/>
      <c r="F130" s="68"/>
      <c r="G130" s="69"/>
      <c r="H130" s="7"/>
      <c r="I130" s="7"/>
      <c r="J130" s="70"/>
      <c r="K130" s="70"/>
      <c r="L130" s="70"/>
      <c r="M130" s="70"/>
      <c r="N130" s="70"/>
    </row>
    <row r="131" spans="2:14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0"/>
      <c r="F136" s="11">
        <f>E136/1000</f>
        <v>0</v>
      </c>
    </row>
    <row r="137" spans="2:14" s="5" customFormat="1" thickTop="1" thickBot="1" x14ac:dyDescent="0.25">
      <c r="B137" s="6">
        <v>2</v>
      </c>
      <c r="C137" s="6" t="s">
        <v>57</v>
      </c>
      <c r="D137" s="6" t="s">
        <v>3</v>
      </c>
      <c r="E137" s="60"/>
      <c r="F137" s="11">
        <f t="shared" ref="F137:F144" si="1"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0"/>
      <c r="F138" s="11">
        <f t="shared" si="1"/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0"/>
      <c r="F139" s="11">
        <f t="shared" si="1"/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0"/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0"/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0"/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0"/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0"/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/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/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/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/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/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/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0"/>
      <c r="F181" s="11">
        <f>E181/1000</f>
        <v>0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0"/>
      <c r="F182" s="11">
        <f t="shared" ref="F182:F190" si="3">E182/1000</f>
        <v>0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0"/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0"/>
      <c r="F184" s="11">
        <f t="shared" si="3"/>
        <v>0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0"/>
      <c r="F185" s="11">
        <f t="shared" si="3"/>
        <v>0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0"/>
      <c r="F186" s="11">
        <f t="shared" si="3"/>
        <v>0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0"/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0"/>
      <c r="F188" s="11">
        <f t="shared" si="3"/>
        <v>0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0"/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0"/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0</v>
      </c>
      <c r="F191" s="37">
        <f>SUM(F181:F190)</f>
        <v>0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>
        <v>0</v>
      </c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>
        <v>0</v>
      </c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/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/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/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/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/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/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thickTop="1" thickBot="1" x14ac:dyDescent="0.25">
      <c r="B215" s="6">
        <v>1</v>
      </c>
      <c r="C215" s="6" t="s">
        <v>20</v>
      </c>
      <c r="D215" s="6" t="s">
        <v>62</v>
      </c>
      <c r="E215" s="60"/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0"/>
      <c r="F217" s="11">
        <f t="shared" ref="F217:F223" si="4">E217/1000</f>
        <v>0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0"/>
      <c r="F218" s="11">
        <f t="shared" si="4"/>
        <v>0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0"/>
      <c r="F219" s="11">
        <f t="shared" si="4"/>
        <v>0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0"/>
      <c r="F220" s="11">
        <f t="shared" si="4"/>
        <v>0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0"/>
      <c r="F221" s="11">
        <f t="shared" si="4"/>
        <v>0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0"/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0"/>
      <c r="F223" s="11">
        <f t="shared" si="4"/>
        <v>0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0</v>
      </c>
      <c r="F224" s="43">
        <f>SUM(F217:F223)</f>
        <v>0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/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/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/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/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/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/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/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>
        <v>0</v>
      </c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>
        <v>0</v>
      </c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>
        <v>0</v>
      </c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>
        <v>0</v>
      </c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>
        <v>0</v>
      </c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>
        <v>0</v>
      </c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>
        <v>0</v>
      </c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>
        <v>0</v>
      </c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>
        <v>0</v>
      </c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>
        <v>0</v>
      </c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>
        <v>0</v>
      </c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>
        <v>0</v>
      </c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>
        <v>0</v>
      </c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>
        <v>0</v>
      </c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>
        <v>0</v>
      </c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>
        <v>0</v>
      </c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>
        <v>0</v>
      </c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>
        <v>0</v>
      </c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>
        <v>0</v>
      </c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>
        <v>0</v>
      </c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>
        <v>0</v>
      </c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>
        <v>0</v>
      </c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>
        <v>0</v>
      </c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>
        <v>0</v>
      </c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>
        <v>0</v>
      </c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>
        <v>0</v>
      </c>
    </row>
    <row r="268" spans="2:14" s="5" customFormat="1" thickTop="1" thickBot="1" x14ac:dyDescent="0.25">
      <c r="B268" s="6">
        <v>27</v>
      </c>
      <c r="C268" s="6" t="s">
        <v>127</v>
      </c>
      <c r="D268" s="6" t="s">
        <v>28</v>
      </c>
      <c r="E268" s="60">
        <v>0</v>
      </c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>
        <v>0</v>
      </c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30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3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>
      <c r="B303" s="31"/>
    </row>
    <row r="304" spans="2:14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/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/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/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/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/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/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/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/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/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/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/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/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/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/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/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/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/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/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/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/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/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/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/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/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/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/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/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/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124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/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/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/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/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/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/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/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/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/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/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/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/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/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123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>
        <v>0</v>
      </c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>
        <v>0</v>
      </c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>
        <v>0</v>
      </c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>
        <v>0</v>
      </c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>
        <v>0</v>
      </c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>
        <v>0</v>
      </c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>
        <v>0</v>
      </c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>
        <v>0</v>
      </c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2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/>
      <c r="D432" s="62"/>
      <c r="E432" s="60"/>
      <c r="F432" s="59"/>
      <c r="G432" s="59"/>
      <c r="H432" s="59"/>
      <c r="I432" s="2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/>
      <c r="D433" s="62"/>
      <c r="E433" s="60"/>
      <c r="F433" s="59"/>
      <c r="G433" s="59"/>
      <c r="H433" s="59"/>
      <c r="I433" s="2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/>
      <c r="D434" s="62"/>
      <c r="E434" s="60"/>
      <c r="F434" s="59"/>
      <c r="G434" s="59"/>
      <c r="H434" s="59"/>
      <c r="I434" s="2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2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2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2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2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2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2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27"/>
      <c r="J441" s="27"/>
      <c r="K441" s="27"/>
      <c r="L441" s="27"/>
      <c r="M441" s="27"/>
    </row>
    <row r="442" spans="2:13" s="5" customFormat="1" thickTop="1" thickBo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104"/>
      <c r="C444" s="10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2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/>
      <c r="D447" s="59"/>
      <c r="E447" s="60"/>
      <c r="F447" s="59"/>
      <c r="G447" s="59"/>
      <c r="H447" s="59"/>
      <c r="I447" s="2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/>
      <c r="D448" s="59"/>
      <c r="E448" s="60"/>
      <c r="F448" s="59"/>
      <c r="G448" s="59"/>
      <c r="H448" s="59"/>
      <c r="I448" s="2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2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2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2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2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2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2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2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27"/>
      <c r="J456" s="27"/>
      <c r="K456" s="27"/>
      <c r="L456" s="27"/>
      <c r="M456" s="27"/>
    </row>
    <row r="457" spans="2:13" s="5" customFormat="1" thickTop="1" thickBot="1" x14ac:dyDescent="0.25"/>
    <row r="458" spans="2:13" s="5" customFormat="1" ht="13.5" thickTop="1" x14ac:dyDescent="0.2">
      <c r="B458" s="102" t="s">
        <v>153</v>
      </c>
      <c r="C458" s="103"/>
    </row>
    <row r="459" spans="2:13" s="5" customFormat="1" ht="13.5" thickBot="1" x14ac:dyDescent="0.25">
      <c r="B459" s="104"/>
      <c r="C459" s="105"/>
    </row>
    <row r="460" spans="2:13" s="5" customFormat="1" thickTop="1" thickBot="1" x14ac:dyDescent="0.25"/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2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2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2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2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2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2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2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2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2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/>
  </sheetData>
  <sheetProtection algorithmName="SHA-512" hashValue="iSoUQATCDpz57qk/Wt5YVsRGMU8QFXq9GrrRILjzpP14YBp54szTrDEQH8PhmliZtdvc9424u1mIp6lxA+sTAA==" saltValue="joTPbZ5S168oUSogK4DX3Q==" spinCount="100000" sheet="1" objects="1" scenarios="1" selectLockedCells="1"/>
  <mergeCells count="339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19:G119"/>
    <mergeCell ref="J58:N58"/>
    <mergeCell ref="C59:G59"/>
    <mergeCell ref="J59:N59"/>
    <mergeCell ref="C60:G60"/>
    <mergeCell ref="J60:N60"/>
    <mergeCell ref="B40:E40"/>
    <mergeCell ref="B54:D54"/>
    <mergeCell ref="C56:G56"/>
    <mergeCell ref="J56:N56"/>
    <mergeCell ref="C57:G57"/>
    <mergeCell ref="J57:N57"/>
    <mergeCell ref="J64:N64"/>
    <mergeCell ref="C65:G65"/>
    <mergeCell ref="J65:N65"/>
    <mergeCell ref="C66:G66"/>
    <mergeCell ref="C67:G67"/>
    <mergeCell ref="C61:G61"/>
    <mergeCell ref="J61:N61"/>
    <mergeCell ref="C62:G62"/>
    <mergeCell ref="J62:N62"/>
    <mergeCell ref="C63:G63"/>
    <mergeCell ref="J63:N63"/>
    <mergeCell ref="J88:N88"/>
    <mergeCell ref="C89:G89"/>
    <mergeCell ref="J89:N89"/>
    <mergeCell ref="C90:G90"/>
    <mergeCell ref="J90:N90"/>
    <mergeCell ref="C68:G68"/>
    <mergeCell ref="J68:N68"/>
    <mergeCell ref="B72:E72"/>
    <mergeCell ref="B85:D85"/>
    <mergeCell ref="C87:G87"/>
    <mergeCell ref="J87:N87"/>
    <mergeCell ref="J94:N94"/>
    <mergeCell ref="C95:G95"/>
    <mergeCell ref="J95:N95"/>
    <mergeCell ref="C96:G96"/>
    <mergeCell ref="J96:N96"/>
    <mergeCell ref="C91:G91"/>
    <mergeCell ref="J91:N91"/>
    <mergeCell ref="C92:G92"/>
    <mergeCell ref="J92:N92"/>
    <mergeCell ref="C93:G93"/>
    <mergeCell ref="J93:N93"/>
    <mergeCell ref="J119:N119"/>
    <mergeCell ref="C120:G120"/>
    <mergeCell ref="J120:N120"/>
    <mergeCell ref="C121:G121"/>
    <mergeCell ref="J121:N121"/>
    <mergeCell ref="C98:G98"/>
    <mergeCell ref="J98:N98"/>
    <mergeCell ref="B102:F102"/>
    <mergeCell ref="B116:D116"/>
    <mergeCell ref="C118:G118"/>
    <mergeCell ref="J118:N118"/>
    <mergeCell ref="C125:G125"/>
    <mergeCell ref="J125:N125"/>
    <mergeCell ref="C126:G126"/>
    <mergeCell ref="J126:N126"/>
    <mergeCell ref="C127:G127"/>
    <mergeCell ref="C130:G130"/>
    <mergeCell ref="J130:N130"/>
    <mergeCell ref="C122:G122"/>
    <mergeCell ref="J122:N122"/>
    <mergeCell ref="C123:G123"/>
    <mergeCell ref="J123:N123"/>
    <mergeCell ref="C124:G124"/>
    <mergeCell ref="J124:N124"/>
    <mergeCell ref="C149:G149"/>
    <mergeCell ref="J149:N149"/>
    <mergeCell ref="C150:G150"/>
    <mergeCell ref="J150:N150"/>
    <mergeCell ref="C151:G151"/>
    <mergeCell ref="J151:N151"/>
    <mergeCell ref="B134:F134"/>
    <mergeCell ref="B145:D145"/>
    <mergeCell ref="C147:G147"/>
    <mergeCell ref="J147:N147"/>
    <mergeCell ref="C148:G148"/>
    <mergeCell ref="J148:N148"/>
    <mergeCell ref="C155:G155"/>
    <mergeCell ref="J155:N155"/>
    <mergeCell ref="C156:G156"/>
    <mergeCell ref="J156:N156"/>
    <mergeCell ref="B160:F160"/>
    <mergeCell ref="B164:F164"/>
    <mergeCell ref="C152:G152"/>
    <mergeCell ref="J152:N152"/>
    <mergeCell ref="C153:G153"/>
    <mergeCell ref="J153:N153"/>
    <mergeCell ref="C154:G154"/>
    <mergeCell ref="J154:N154"/>
    <mergeCell ref="C173:G173"/>
    <mergeCell ref="J173:N173"/>
    <mergeCell ref="C174:G174"/>
    <mergeCell ref="J174:N174"/>
    <mergeCell ref="C175:G175"/>
    <mergeCell ref="J175:N175"/>
    <mergeCell ref="B168:D168"/>
    <mergeCell ref="C170:G170"/>
    <mergeCell ref="J170:N170"/>
    <mergeCell ref="C171:G171"/>
    <mergeCell ref="J171:N171"/>
    <mergeCell ref="C172:G172"/>
    <mergeCell ref="J172:N172"/>
    <mergeCell ref="C198:G198"/>
    <mergeCell ref="J198:N198"/>
    <mergeCell ref="C199:G199"/>
    <mergeCell ref="J199:N199"/>
    <mergeCell ref="C200:G200"/>
    <mergeCell ref="J200:N200"/>
    <mergeCell ref="B179:F179"/>
    <mergeCell ref="B191:D191"/>
    <mergeCell ref="B192:F192"/>
    <mergeCell ref="C196:G196"/>
    <mergeCell ref="J196:N196"/>
    <mergeCell ref="C197:G197"/>
    <mergeCell ref="J197:N197"/>
    <mergeCell ref="C204:G204"/>
    <mergeCell ref="J204:N204"/>
    <mergeCell ref="C205:G205"/>
    <mergeCell ref="J205:N205"/>
    <mergeCell ref="C206:G206"/>
    <mergeCell ref="J206:N206"/>
    <mergeCell ref="C201:G201"/>
    <mergeCell ref="J201:N201"/>
    <mergeCell ref="C202:G202"/>
    <mergeCell ref="J202:N202"/>
    <mergeCell ref="C203:G203"/>
    <mergeCell ref="J203:N203"/>
    <mergeCell ref="B216:F216"/>
    <mergeCell ref="B224:D224"/>
    <mergeCell ref="C226:G226"/>
    <mergeCell ref="J226:N226"/>
    <mergeCell ref="C227:G227"/>
    <mergeCell ref="J227:N227"/>
    <mergeCell ref="C207:G207"/>
    <mergeCell ref="J207:N207"/>
    <mergeCell ref="C208:G208"/>
    <mergeCell ref="C209:G209"/>
    <mergeCell ref="J209:N209"/>
    <mergeCell ref="B213:F213"/>
    <mergeCell ref="C231:G231"/>
    <mergeCell ref="J231:N231"/>
    <mergeCell ref="C232:G232"/>
    <mergeCell ref="J232:N232"/>
    <mergeCell ref="C233:G233"/>
    <mergeCell ref="J233:N233"/>
    <mergeCell ref="C228:G228"/>
    <mergeCell ref="J228:N228"/>
    <mergeCell ref="C229:G229"/>
    <mergeCell ref="J229:N229"/>
    <mergeCell ref="C230:G230"/>
    <mergeCell ref="J230:N230"/>
    <mergeCell ref="C273:G273"/>
    <mergeCell ref="J273:N273"/>
    <mergeCell ref="C274:G274"/>
    <mergeCell ref="J274:N274"/>
    <mergeCell ref="C275:G275"/>
    <mergeCell ref="J275:N275"/>
    <mergeCell ref="C234:G234"/>
    <mergeCell ref="J234:N234"/>
    <mergeCell ref="B238:C238"/>
    <mergeCell ref="B240:E240"/>
    <mergeCell ref="B270:D270"/>
    <mergeCell ref="C272:G272"/>
    <mergeCell ref="J272:N272"/>
    <mergeCell ref="C279:G279"/>
    <mergeCell ref="J279:N279"/>
    <mergeCell ref="C280:G280"/>
    <mergeCell ref="J280:N280"/>
    <mergeCell ref="C281:G281"/>
    <mergeCell ref="J281:N281"/>
    <mergeCell ref="C276:G276"/>
    <mergeCell ref="J276:N276"/>
    <mergeCell ref="C277:G277"/>
    <mergeCell ref="J277:N277"/>
    <mergeCell ref="C278:G278"/>
    <mergeCell ref="J278:N278"/>
    <mergeCell ref="C285:G285"/>
    <mergeCell ref="J285:N285"/>
    <mergeCell ref="C286:G286"/>
    <mergeCell ref="J286:N286"/>
    <mergeCell ref="C287:G287"/>
    <mergeCell ref="J287:N287"/>
    <mergeCell ref="C282:G282"/>
    <mergeCell ref="J282:N282"/>
    <mergeCell ref="C283:G283"/>
    <mergeCell ref="J283:N283"/>
    <mergeCell ref="C284:G284"/>
    <mergeCell ref="J284:N284"/>
    <mergeCell ref="C291:G291"/>
    <mergeCell ref="J291:N291"/>
    <mergeCell ref="C292:G292"/>
    <mergeCell ref="J292:N292"/>
    <mergeCell ref="C293:G293"/>
    <mergeCell ref="J293:N293"/>
    <mergeCell ref="C288:G288"/>
    <mergeCell ref="J288:N288"/>
    <mergeCell ref="C289:G289"/>
    <mergeCell ref="J289:N289"/>
    <mergeCell ref="C290:G290"/>
    <mergeCell ref="J290:N290"/>
    <mergeCell ref="C297:G297"/>
    <mergeCell ref="J297:N297"/>
    <mergeCell ref="C298:G298"/>
    <mergeCell ref="C299:G299"/>
    <mergeCell ref="C300:G300"/>
    <mergeCell ref="C294:G294"/>
    <mergeCell ref="J294:N294"/>
    <mergeCell ref="C295:G295"/>
    <mergeCell ref="J295:N295"/>
    <mergeCell ref="C296:G296"/>
    <mergeCell ref="J296:N296"/>
    <mergeCell ref="C339:G339"/>
    <mergeCell ref="J339:N339"/>
    <mergeCell ref="C340:G340"/>
    <mergeCell ref="J340:N340"/>
    <mergeCell ref="C341:G341"/>
    <mergeCell ref="J341:N341"/>
    <mergeCell ref="B304:F304"/>
    <mergeCell ref="B332:D332"/>
    <mergeCell ref="B333:F333"/>
    <mergeCell ref="C337:G337"/>
    <mergeCell ref="J337:N337"/>
    <mergeCell ref="C338:G338"/>
    <mergeCell ref="J338:N338"/>
    <mergeCell ref="C345:G345"/>
    <mergeCell ref="J345:N345"/>
    <mergeCell ref="C346:G346"/>
    <mergeCell ref="J346:N346"/>
    <mergeCell ref="C347:G347"/>
    <mergeCell ref="J347:N347"/>
    <mergeCell ref="C342:G342"/>
    <mergeCell ref="J342:N342"/>
    <mergeCell ref="C343:G343"/>
    <mergeCell ref="J343:N343"/>
    <mergeCell ref="C344:G344"/>
    <mergeCell ref="J344:N344"/>
    <mergeCell ref="C351:G351"/>
    <mergeCell ref="J351:N351"/>
    <mergeCell ref="C352:G352"/>
    <mergeCell ref="J352:N352"/>
    <mergeCell ref="C353:G353"/>
    <mergeCell ref="J353:N353"/>
    <mergeCell ref="C348:G348"/>
    <mergeCell ref="J348:N348"/>
    <mergeCell ref="C349:G349"/>
    <mergeCell ref="J349:N349"/>
    <mergeCell ref="C350:G350"/>
    <mergeCell ref="J350:N350"/>
    <mergeCell ref="C357:G357"/>
    <mergeCell ref="J357:N357"/>
    <mergeCell ref="C358:G358"/>
    <mergeCell ref="J358:N358"/>
    <mergeCell ref="C359:G359"/>
    <mergeCell ref="J359:N359"/>
    <mergeCell ref="C354:G354"/>
    <mergeCell ref="J354:N354"/>
    <mergeCell ref="C355:G355"/>
    <mergeCell ref="J355:N355"/>
    <mergeCell ref="C356:G356"/>
    <mergeCell ref="J356:N356"/>
    <mergeCell ref="J365:N365"/>
    <mergeCell ref="B369:F369"/>
    <mergeCell ref="B382:D382"/>
    <mergeCell ref="C360:G360"/>
    <mergeCell ref="J360:N360"/>
    <mergeCell ref="C361:G361"/>
    <mergeCell ref="J361:N361"/>
    <mergeCell ref="C362:G362"/>
    <mergeCell ref="J362:N362"/>
    <mergeCell ref="B383:F383"/>
    <mergeCell ref="C387:G387"/>
    <mergeCell ref="C388:G388"/>
    <mergeCell ref="C389:G389"/>
    <mergeCell ref="C390:G390"/>
    <mergeCell ref="C391:G391"/>
    <mergeCell ref="C363:G363"/>
    <mergeCell ref="C364:G364"/>
    <mergeCell ref="C365:G365"/>
    <mergeCell ref="B403:F403"/>
    <mergeCell ref="B406:F406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14:C14"/>
    <mergeCell ref="D14:G14"/>
    <mergeCell ref="C97:G97"/>
    <mergeCell ref="C128:G128"/>
    <mergeCell ref="C129:G129"/>
    <mergeCell ref="C423:G423"/>
    <mergeCell ref="J423:N423"/>
    <mergeCell ref="C424:G424"/>
    <mergeCell ref="J424:N424"/>
    <mergeCell ref="C420:G420"/>
    <mergeCell ref="J420:N420"/>
    <mergeCell ref="C421:G421"/>
    <mergeCell ref="J421:N421"/>
    <mergeCell ref="C422:G422"/>
    <mergeCell ref="J422:N422"/>
    <mergeCell ref="J416:N416"/>
    <mergeCell ref="C417:G417"/>
    <mergeCell ref="J417:N417"/>
    <mergeCell ref="C418:G418"/>
    <mergeCell ref="J418:N418"/>
    <mergeCell ref="C419:G419"/>
    <mergeCell ref="J419:N419"/>
    <mergeCell ref="C398:G398"/>
    <mergeCell ref="C399:G399"/>
  </mergeCells>
  <dataValidations count="1">
    <dataValidation type="decimal" operator="greaterThanOrEqual" allowBlank="1" showInputMessage="1" showErrorMessage="1" error="يسمح بإدخال أرقام فقط." sqref="E20:E26 E42:E53 E74:E84 E104:E115 E136:E144 E162:E163 E165:E167 E181:E190 E193:E194 E215 E217:E223 E242:E269 E306:E331 E334:E335 E371:E381 E384:E385 E405 E407:E413 E432:E441 E447:E456" xr:uid="{00000000-0002-0000-08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9:O472"/>
  <sheetViews>
    <sheetView showGridLines="0" rightToLeft="1" topLeftCell="A13" zoomScale="120" zoomScaleNormal="120" zoomScaleSheetLayoutView="100" workbookViewId="0">
      <selection activeCell="C171" sqref="C171:G174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1:10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0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0" x14ac:dyDescent="0.2">
      <c r="B11" s="107"/>
      <c r="C11" s="107"/>
      <c r="D11" s="107"/>
      <c r="E11" s="107"/>
      <c r="F11" s="107"/>
      <c r="G11" s="107"/>
    </row>
    <row r="12" spans="1:10" s="1" customFormat="1" ht="15.75" thickBot="1" x14ac:dyDescent="0.35">
      <c r="B12" s="108"/>
      <c r="C12" s="108"/>
      <c r="D12" s="108"/>
      <c r="E12" s="108"/>
      <c r="F12" s="108"/>
      <c r="G12" s="108"/>
    </row>
    <row r="13" spans="1:10" s="1" customFormat="1" ht="34.5" customHeight="1" thickTop="1" thickBot="1" x14ac:dyDescent="0.35">
      <c r="B13" s="85" t="s">
        <v>163</v>
      </c>
      <c r="C13" s="86"/>
      <c r="D13" s="86"/>
      <c r="E13" s="86"/>
      <c r="F13" s="86"/>
      <c r="G13" s="87"/>
      <c r="H13" s="2"/>
      <c r="I13" s="2"/>
      <c r="J13" s="2"/>
    </row>
    <row r="14" spans="1:10" s="1" customFormat="1" ht="34.5" customHeight="1" thickTop="1" thickBot="1" x14ac:dyDescent="0.4">
      <c r="B14" s="110" t="s">
        <v>167</v>
      </c>
      <c r="C14" s="110"/>
      <c r="D14" s="110" t="str">
        <f>يناير!D14</f>
        <v>الوجاجه</v>
      </c>
      <c r="E14" s="110"/>
      <c r="F14" s="110"/>
      <c r="G14" s="110"/>
      <c r="H14" s="2"/>
      <c r="I14" s="2"/>
      <c r="J14" s="2"/>
    </row>
    <row r="15" spans="1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1:10" s="5" customFormat="1" ht="21.75" thickTop="1" thickBot="1" x14ac:dyDescent="0.25">
      <c r="B16" s="100" t="s">
        <v>131</v>
      </c>
      <c r="C16" s="101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>
        <v>0</v>
      </c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>
        <v>0</v>
      </c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>
        <v>0</v>
      </c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>
        <v>0</v>
      </c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>
        <v>0</v>
      </c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>
        <v>0</v>
      </c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>
        <v>0</v>
      </c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0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109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/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>
        <v>0</v>
      </c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>
        <v>0</v>
      </c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>
        <v>0</v>
      </c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>
        <v>0</v>
      </c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>
        <v>0</v>
      </c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>
        <v>0</v>
      </c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>
        <v>0</v>
      </c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>
        <v>0</v>
      </c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>
        <v>0</v>
      </c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>
        <v>0</v>
      </c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>
        <v>0</v>
      </c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>
        <v>0</v>
      </c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0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/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/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/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>
        <v>0</v>
      </c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>
        <v>0</v>
      </c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>
        <v>0</v>
      </c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>
        <v>0</v>
      </c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>
        <v>0</v>
      </c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>
        <v>0</v>
      </c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>
        <v>0</v>
      </c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>
        <v>0</v>
      </c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>
        <v>0</v>
      </c>
    </row>
    <row r="83" spans="2:14" s="5" customFormat="1" thickTop="1" thickBot="1" x14ac:dyDescent="0.25">
      <c r="B83" s="6">
        <v>10</v>
      </c>
      <c r="C83" s="6" t="s">
        <v>125</v>
      </c>
      <c r="D83" s="6" t="s">
        <v>28</v>
      </c>
      <c r="E83" s="60">
        <v>0</v>
      </c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>
        <v>0</v>
      </c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ht="16.5" customHeigh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</row>
    <row r="98" spans="2:14" s="5" customFormat="1" ht="19.5" customHeight="1" thickTop="1" thickBot="1" x14ac:dyDescent="0.25">
      <c r="B98" s="6">
        <v>11</v>
      </c>
      <c r="C98" s="67"/>
      <c r="D98" s="68"/>
      <c r="E98" s="68"/>
      <c r="F98" s="68"/>
      <c r="G98" s="69"/>
      <c r="H98" s="7"/>
      <c r="I98" s="7"/>
      <c r="J98" s="70"/>
      <c r="K98" s="70"/>
      <c r="L98" s="70"/>
      <c r="M98" s="70"/>
      <c r="N98" s="70"/>
    </row>
    <row r="99" spans="2:14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2.75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4"/>
      <c r="F104" s="11">
        <f t="shared" ref="F104:F115" si="0">E104/1000</f>
        <v>0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4"/>
      <c r="F105" s="11">
        <f t="shared" si="0"/>
        <v>0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4"/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4"/>
      <c r="F107" s="11">
        <f t="shared" si="0"/>
        <v>0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4"/>
      <c r="F108" s="11">
        <f t="shared" si="0"/>
        <v>0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4"/>
      <c r="F109" s="11">
        <f t="shared" si="0"/>
        <v>0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4"/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4"/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4"/>
      <c r="F112" s="11">
        <f t="shared" si="0"/>
        <v>0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4"/>
      <c r="F113" s="11">
        <f t="shared" si="0"/>
        <v>0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4"/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4"/>
      <c r="F115" s="11">
        <f t="shared" si="0"/>
        <v>0</v>
      </c>
      <c r="G115" s="13"/>
    </row>
    <row r="116" spans="2:14" s="5" customFormat="1" thickTop="1" thickBot="1" x14ac:dyDescent="0.25">
      <c r="B116" s="84" t="s">
        <v>80</v>
      </c>
      <c r="C116" s="84"/>
      <c r="D116" s="84"/>
      <c r="E116" s="36">
        <f>SUM(E104:E115)</f>
        <v>0</v>
      </c>
      <c r="F116" s="37">
        <f>SUM(F104:F115)</f>
        <v>0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/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7"/>
      <c r="D120" s="68"/>
      <c r="E120" s="68"/>
      <c r="F120" s="68"/>
      <c r="G120" s="69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/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/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/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ht="16.5" customHeight="1" thickTop="1" thickBot="1" x14ac:dyDescent="0.25">
      <c r="B127" s="6">
        <v>9</v>
      </c>
      <c r="C127" s="67"/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/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</row>
    <row r="129" spans="2:14" s="5" customFormat="1" ht="16.5" customHeigh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ht="16.5" customHeight="1" thickTop="1" thickBot="1" x14ac:dyDescent="0.25">
      <c r="B130" s="6">
        <v>12</v>
      </c>
      <c r="C130" s="67"/>
      <c r="D130" s="68"/>
      <c r="E130" s="68"/>
      <c r="F130" s="68"/>
      <c r="G130" s="69"/>
      <c r="H130" s="7"/>
      <c r="I130" s="7"/>
      <c r="J130" s="70"/>
      <c r="K130" s="70"/>
      <c r="L130" s="70"/>
      <c r="M130" s="70"/>
      <c r="N130" s="70"/>
    </row>
    <row r="131" spans="2:14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4"/>
      <c r="F136" s="11">
        <f>E136/1000</f>
        <v>0</v>
      </c>
    </row>
    <row r="137" spans="2:14" s="5" customFormat="1" thickTop="1" thickBot="1" x14ac:dyDescent="0.25">
      <c r="B137" s="6">
        <v>2</v>
      </c>
      <c r="C137" s="6" t="s">
        <v>57</v>
      </c>
      <c r="D137" s="6" t="s">
        <v>3</v>
      </c>
      <c r="E137" s="64"/>
      <c r="F137" s="11">
        <f t="shared" ref="F137:F144" si="1"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4"/>
      <c r="F138" s="11">
        <f t="shared" si="1"/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4"/>
      <c r="F139" s="11">
        <f t="shared" si="1"/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4"/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4"/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4"/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4"/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4"/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/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/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/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/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/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/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4"/>
      <c r="F181" s="11">
        <f>E181/1000</f>
        <v>0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4"/>
      <c r="F182" s="11">
        <f t="shared" ref="F182:F190" si="3">E182/1000</f>
        <v>0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4"/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4"/>
      <c r="F184" s="11">
        <f t="shared" si="3"/>
        <v>0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4"/>
      <c r="F185" s="11">
        <f t="shared" si="3"/>
        <v>0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4"/>
      <c r="F186" s="11">
        <f t="shared" si="3"/>
        <v>0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4"/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4"/>
      <c r="F188" s="11">
        <f t="shared" si="3"/>
        <v>0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4"/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4"/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0</v>
      </c>
      <c r="F191" s="37">
        <f>SUM(F181:F190)</f>
        <v>0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/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>
        <v>0</v>
      </c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/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/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/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/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/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/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thickTop="1" thickBot="1" x14ac:dyDescent="0.25">
      <c r="B215" s="6">
        <v>1</v>
      </c>
      <c r="C215" s="6" t="s">
        <v>20</v>
      </c>
      <c r="D215" s="6" t="s">
        <v>62</v>
      </c>
      <c r="E215" s="60">
        <v>0</v>
      </c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4"/>
      <c r="F217" s="11">
        <f t="shared" ref="F217:F223" si="4">E217/1000</f>
        <v>0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4"/>
      <c r="F218" s="11">
        <f t="shared" si="4"/>
        <v>0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4"/>
      <c r="F219" s="11">
        <f t="shared" si="4"/>
        <v>0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4"/>
      <c r="F220" s="11">
        <f t="shared" si="4"/>
        <v>0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4"/>
      <c r="F221" s="11">
        <f t="shared" si="4"/>
        <v>0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4"/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4"/>
      <c r="F223" s="11">
        <f t="shared" si="4"/>
        <v>0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0</v>
      </c>
      <c r="F224" s="43">
        <f>SUM(F217:F223)</f>
        <v>0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/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/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/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/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/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/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/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>
        <v>0</v>
      </c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>
        <v>0</v>
      </c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>
        <v>0</v>
      </c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>
        <v>0</v>
      </c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>
        <v>0</v>
      </c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>
        <v>0</v>
      </c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>
        <v>0</v>
      </c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>
        <v>0</v>
      </c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>
        <v>0</v>
      </c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>
        <v>0</v>
      </c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>
        <v>0</v>
      </c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>
        <v>0</v>
      </c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>
        <v>0</v>
      </c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>
        <v>0</v>
      </c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>
        <v>0</v>
      </c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>
        <v>0</v>
      </c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>
        <v>0</v>
      </c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>
        <v>0</v>
      </c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>
        <v>0</v>
      </c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>
        <v>0</v>
      </c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>
        <v>0</v>
      </c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>
        <v>0</v>
      </c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>
        <v>0</v>
      </c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>
        <v>0</v>
      </c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>
        <v>0</v>
      </c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>
        <v>0</v>
      </c>
    </row>
    <row r="268" spans="2:14" s="5" customFormat="1" thickTop="1" thickBot="1" x14ac:dyDescent="0.25">
      <c r="B268" s="6">
        <v>27</v>
      </c>
      <c r="C268" s="6" t="s">
        <v>127</v>
      </c>
      <c r="D268" s="6" t="s">
        <v>28</v>
      </c>
      <c r="E268" s="60">
        <v>0</v>
      </c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>
        <v>0</v>
      </c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30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3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>
      <c r="B303" s="31"/>
    </row>
    <row r="304" spans="2:14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/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/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/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/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/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/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/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/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/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/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/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/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/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/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/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/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/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/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/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/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/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/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/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/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/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/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/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/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123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/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/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/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/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/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/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/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/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/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/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/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/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/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123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>
        <v>0</v>
      </c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>
        <v>0</v>
      </c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>
        <v>0</v>
      </c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>
        <v>0</v>
      </c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>
        <v>0</v>
      </c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>
        <v>0</v>
      </c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>
        <v>0</v>
      </c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>
        <v>0</v>
      </c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2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/>
      <c r="D432" s="62"/>
      <c r="E432" s="60"/>
      <c r="F432" s="59"/>
      <c r="G432" s="59"/>
      <c r="H432" s="59"/>
      <c r="I432" s="2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/>
      <c r="D433" s="59"/>
      <c r="E433" s="60"/>
      <c r="F433" s="59"/>
      <c r="G433" s="59"/>
      <c r="H433" s="59"/>
      <c r="I433" s="2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/>
      <c r="D434" s="59"/>
      <c r="E434" s="60"/>
      <c r="F434" s="59"/>
      <c r="G434" s="59"/>
      <c r="H434" s="59"/>
      <c r="I434" s="2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2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2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2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2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2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2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27"/>
      <c r="J441" s="27"/>
      <c r="K441" s="27"/>
      <c r="L441" s="27"/>
      <c r="M441" s="27"/>
    </row>
    <row r="442" spans="2:13" s="5" customFormat="1" thickTop="1" thickBo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104"/>
      <c r="C444" s="10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2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/>
      <c r="D447" s="59"/>
      <c r="E447" s="60"/>
      <c r="F447" s="59"/>
      <c r="G447" s="59"/>
      <c r="H447" s="59"/>
      <c r="I447" s="2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/>
      <c r="D448" s="59"/>
      <c r="E448" s="60"/>
      <c r="F448" s="59"/>
      <c r="G448" s="59"/>
      <c r="H448" s="59"/>
      <c r="I448" s="2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2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2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2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2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2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2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2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27"/>
      <c r="J456" s="27"/>
      <c r="K456" s="27"/>
      <c r="L456" s="27"/>
      <c r="M456" s="27"/>
    </row>
    <row r="457" spans="2:13" s="5" customFormat="1" thickTop="1" thickBot="1" x14ac:dyDescent="0.25"/>
    <row r="458" spans="2:13" s="5" customFormat="1" ht="13.5" thickTop="1" x14ac:dyDescent="0.2">
      <c r="B458" s="102" t="s">
        <v>153</v>
      </c>
      <c r="C458" s="103"/>
    </row>
    <row r="459" spans="2:13" s="5" customFormat="1" ht="13.5" thickBot="1" x14ac:dyDescent="0.25">
      <c r="B459" s="104"/>
      <c r="C459" s="105"/>
    </row>
    <row r="460" spans="2:13" s="5" customFormat="1" thickTop="1" thickBot="1" x14ac:dyDescent="0.25"/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2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2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2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2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2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2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2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2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2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/>
  </sheetData>
  <sheetProtection algorithmName="SHA-512" hashValue="zZH1/lYDgkXBxijZuWroyJ9ZYfmxyA4c4satnNl/+n0CAXxzmTCOno7Q1QbRmeuid49PcoRDZPd3JJ/ukeyjdA==" saltValue="wsCXiA8YRI+vdsy4nFzC8g==" spinCount="100000" sheet="1" objects="1" scenarios="1" selectLockedCells="1"/>
  <mergeCells count="339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19:G119"/>
    <mergeCell ref="J58:N58"/>
    <mergeCell ref="C59:G59"/>
    <mergeCell ref="J59:N59"/>
    <mergeCell ref="C60:G60"/>
    <mergeCell ref="J60:N60"/>
    <mergeCell ref="B40:E40"/>
    <mergeCell ref="B54:D54"/>
    <mergeCell ref="C56:G56"/>
    <mergeCell ref="J56:N56"/>
    <mergeCell ref="C57:G57"/>
    <mergeCell ref="J57:N57"/>
    <mergeCell ref="J64:N64"/>
    <mergeCell ref="C65:G65"/>
    <mergeCell ref="J65:N65"/>
    <mergeCell ref="C66:G66"/>
    <mergeCell ref="C67:G67"/>
    <mergeCell ref="C61:G61"/>
    <mergeCell ref="J61:N61"/>
    <mergeCell ref="C62:G62"/>
    <mergeCell ref="J62:N62"/>
    <mergeCell ref="C63:G63"/>
    <mergeCell ref="J63:N63"/>
    <mergeCell ref="J88:N88"/>
    <mergeCell ref="C89:G89"/>
    <mergeCell ref="J89:N89"/>
    <mergeCell ref="C90:G90"/>
    <mergeCell ref="J90:N90"/>
    <mergeCell ref="C68:G68"/>
    <mergeCell ref="J68:N68"/>
    <mergeCell ref="B72:E72"/>
    <mergeCell ref="B85:D85"/>
    <mergeCell ref="C87:G87"/>
    <mergeCell ref="J87:N87"/>
    <mergeCell ref="J94:N94"/>
    <mergeCell ref="C95:G95"/>
    <mergeCell ref="J95:N95"/>
    <mergeCell ref="C96:G96"/>
    <mergeCell ref="J96:N96"/>
    <mergeCell ref="C91:G91"/>
    <mergeCell ref="J91:N91"/>
    <mergeCell ref="C92:G92"/>
    <mergeCell ref="J92:N92"/>
    <mergeCell ref="C93:G93"/>
    <mergeCell ref="J93:N93"/>
    <mergeCell ref="J119:N119"/>
    <mergeCell ref="C120:G120"/>
    <mergeCell ref="J120:N120"/>
    <mergeCell ref="C121:G121"/>
    <mergeCell ref="J121:N121"/>
    <mergeCell ref="C98:G98"/>
    <mergeCell ref="J98:N98"/>
    <mergeCell ref="B102:F102"/>
    <mergeCell ref="B116:D116"/>
    <mergeCell ref="C118:G118"/>
    <mergeCell ref="J118:N118"/>
    <mergeCell ref="C125:G125"/>
    <mergeCell ref="J125:N125"/>
    <mergeCell ref="C126:G126"/>
    <mergeCell ref="J126:N126"/>
    <mergeCell ref="C127:G127"/>
    <mergeCell ref="C130:G130"/>
    <mergeCell ref="J130:N130"/>
    <mergeCell ref="C122:G122"/>
    <mergeCell ref="J122:N122"/>
    <mergeCell ref="C123:G123"/>
    <mergeCell ref="J123:N123"/>
    <mergeCell ref="C124:G124"/>
    <mergeCell ref="J124:N124"/>
    <mergeCell ref="C149:G149"/>
    <mergeCell ref="J149:N149"/>
    <mergeCell ref="C150:G150"/>
    <mergeCell ref="J150:N150"/>
    <mergeCell ref="C151:G151"/>
    <mergeCell ref="J151:N151"/>
    <mergeCell ref="B134:F134"/>
    <mergeCell ref="B145:D145"/>
    <mergeCell ref="C147:G147"/>
    <mergeCell ref="J147:N147"/>
    <mergeCell ref="C148:G148"/>
    <mergeCell ref="J148:N148"/>
    <mergeCell ref="C155:G155"/>
    <mergeCell ref="J155:N155"/>
    <mergeCell ref="C156:G156"/>
    <mergeCell ref="J156:N156"/>
    <mergeCell ref="B160:F160"/>
    <mergeCell ref="B164:F164"/>
    <mergeCell ref="C152:G152"/>
    <mergeCell ref="J152:N152"/>
    <mergeCell ref="C153:G153"/>
    <mergeCell ref="J153:N153"/>
    <mergeCell ref="C154:G154"/>
    <mergeCell ref="J154:N154"/>
    <mergeCell ref="C173:G173"/>
    <mergeCell ref="J173:N173"/>
    <mergeCell ref="C174:G174"/>
    <mergeCell ref="J174:N174"/>
    <mergeCell ref="C175:G175"/>
    <mergeCell ref="J175:N175"/>
    <mergeCell ref="B168:D168"/>
    <mergeCell ref="C170:G170"/>
    <mergeCell ref="J170:N170"/>
    <mergeCell ref="C171:G171"/>
    <mergeCell ref="J171:N171"/>
    <mergeCell ref="C172:G172"/>
    <mergeCell ref="J172:N172"/>
    <mergeCell ref="C198:G198"/>
    <mergeCell ref="J198:N198"/>
    <mergeCell ref="C199:G199"/>
    <mergeCell ref="J199:N199"/>
    <mergeCell ref="C200:G200"/>
    <mergeCell ref="J200:N200"/>
    <mergeCell ref="B179:F179"/>
    <mergeCell ref="B191:D191"/>
    <mergeCell ref="B192:F192"/>
    <mergeCell ref="C196:G196"/>
    <mergeCell ref="J196:N196"/>
    <mergeCell ref="C197:G197"/>
    <mergeCell ref="J197:N197"/>
    <mergeCell ref="C204:G204"/>
    <mergeCell ref="J204:N204"/>
    <mergeCell ref="C205:G205"/>
    <mergeCell ref="J205:N205"/>
    <mergeCell ref="C206:G206"/>
    <mergeCell ref="J206:N206"/>
    <mergeCell ref="C201:G201"/>
    <mergeCell ref="J201:N201"/>
    <mergeCell ref="C202:G202"/>
    <mergeCell ref="J202:N202"/>
    <mergeCell ref="C203:G203"/>
    <mergeCell ref="J203:N203"/>
    <mergeCell ref="B216:F216"/>
    <mergeCell ref="B224:D224"/>
    <mergeCell ref="C226:G226"/>
    <mergeCell ref="J226:N226"/>
    <mergeCell ref="C227:G227"/>
    <mergeCell ref="J227:N227"/>
    <mergeCell ref="C207:G207"/>
    <mergeCell ref="J207:N207"/>
    <mergeCell ref="C208:G208"/>
    <mergeCell ref="C209:G209"/>
    <mergeCell ref="J209:N209"/>
    <mergeCell ref="B213:F213"/>
    <mergeCell ref="C231:G231"/>
    <mergeCell ref="J231:N231"/>
    <mergeCell ref="C232:G232"/>
    <mergeCell ref="J232:N232"/>
    <mergeCell ref="C233:G233"/>
    <mergeCell ref="J233:N233"/>
    <mergeCell ref="C228:G228"/>
    <mergeCell ref="J228:N228"/>
    <mergeCell ref="C229:G229"/>
    <mergeCell ref="J229:N229"/>
    <mergeCell ref="C230:G230"/>
    <mergeCell ref="J230:N230"/>
    <mergeCell ref="C273:G273"/>
    <mergeCell ref="J273:N273"/>
    <mergeCell ref="C274:G274"/>
    <mergeCell ref="J274:N274"/>
    <mergeCell ref="C275:G275"/>
    <mergeCell ref="J275:N275"/>
    <mergeCell ref="C234:G234"/>
    <mergeCell ref="J234:N234"/>
    <mergeCell ref="B238:C238"/>
    <mergeCell ref="B240:E240"/>
    <mergeCell ref="B270:D270"/>
    <mergeCell ref="C272:G272"/>
    <mergeCell ref="J272:N272"/>
    <mergeCell ref="C279:G279"/>
    <mergeCell ref="J279:N279"/>
    <mergeCell ref="C280:G280"/>
    <mergeCell ref="J280:N280"/>
    <mergeCell ref="C281:G281"/>
    <mergeCell ref="J281:N281"/>
    <mergeCell ref="C276:G276"/>
    <mergeCell ref="J276:N276"/>
    <mergeCell ref="C277:G277"/>
    <mergeCell ref="J277:N277"/>
    <mergeCell ref="C278:G278"/>
    <mergeCell ref="J278:N278"/>
    <mergeCell ref="C285:G285"/>
    <mergeCell ref="J285:N285"/>
    <mergeCell ref="C286:G286"/>
    <mergeCell ref="J286:N286"/>
    <mergeCell ref="C287:G287"/>
    <mergeCell ref="J287:N287"/>
    <mergeCell ref="C282:G282"/>
    <mergeCell ref="J282:N282"/>
    <mergeCell ref="C283:G283"/>
    <mergeCell ref="J283:N283"/>
    <mergeCell ref="C284:G284"/>
    <mergeCell ref="J284:N284"/>
    <mergeCell ref="C291:G291"/>
    <mergeCell ref="J291:N291"/>
    <mergeCell ref="C292:G292"/>
    <mergeCell ref="J292:N292"/>
    <mergeCell ref="C293:G293"/>
    <mergeCell ref="J293:N293"/>
    <mergeCell ref="C288:G288"/>
    <mergeCell ref="J288:N288"/>
    <mergeCell ref="C289:G289"/>
    <mergeCell ref="J289:N289"/>
    <mergeCell ref="C290:G290"/>
    <mergeCell ref="J290:N290"/>
    <mergeCell ref="C297:G297"/>
    <mergeCell ref="J297:N297"/>
    <mergeCell ref="C298:G298"/>
    <mergeCell ref="C299:G299"/>
    <mergeCell ref="C300:G300"/>
    <mergeCell ref="C294:G294"/>
    <mergeCell ref="J294:N294"/>
    <mergeCell ref="C295:G295"/>
    <mergeCell ref="J295:N295"/>
    <mergeCell ref="C296:G296"/>
    <mergeCell ref="J296:N296"/>
    <mergeCell ref="C339:G339"/>
    <mergeCell ref="J339:N339"/>
    <mergeCell ref="C340:G340"/>
    <mergeCell ref="J340:N340"/>
    <mergeCell ref="C341:G341"/>
    <mergeCell ref="J341:N341"/>
    <mergeCell ref="B304:F304"/>
    <mergeCell ref="B332:D332"/>
    <mergeCell ref="B333:F333"/>
    <mergeCell ref="C337:G337"/>
    <mergeCell ref="J337:N337"/>
    <mergeCell ref="C338:G338"/>
    <mergeCell ref="J338:N338"/>
    <mergeCell ref="C345:G345"/>
    <mergeCell ref="J345:N345"/>
    <mergeCell ref="C346:G346"/>
    <mergeCell ref="J346:N346"/>
    <mergeCell ref="C347:G347"/>
    <mergeCell ref="J347:N347"/>
    <mergeCell ref="C342:G342"/>
    <mergeCell ref="J342:N342"/>
    <mergeCell ref="C343:G343"/>
    <mergeCell ref="J343:N343"/>
    <mergeCell ref="C344:G344"/>
    <mergeCell ref="J344:N344"/>
    <mergeCell ref="C351:G351"/>
    <mergeCell ref="J351:N351"/>
    <mergeCell ref="C352:G352"/>
    <mergeCell ref="J352:N352"/>
    <mergeCell ref="C353:G353"/>
    <mergeCell ref="J353:N353"/>
    <mergeCell ref="C348:G348"/>
    <mergeCell ref="J348:N348"/>
    <mergeCell ref="C349:G349"/>
    <mergeCell ref="J349:N349"/>
    <mergeCell ref="C350:G350"/>
    <mergeCell ref="J350:N350"/>
    <mergeCell ref="C357:G357"/>
    <mergeCell ref="J357:N357"/>
    <mergeCell ref="C358:G358"/>
    <mergeCell ref="J358:N358"/>
    <mergeCell ref="C359:G359"/>
    <mergeCell ref="J359:N359"/>
    <mergeCell ref="C354:G354"/>
    <mergeCell ref="J354:N354"/>
    <mergeCell ref="C355:G355"/>
    <mergeCell ref="J355:N355"/>
    <mergeCell ref="C356:G356"/>
    <mergeCell ref="J356:N356"/>
    <mergeCell ref="J365:N365"/>
    <mergeCell ref="B369:F369"/>
    <mergeCell ref="B382:D382"/>
    <mergeCell ref="C360:G360"/>
    <mergeCell ref="J360:N360"/>
    <mergeCell ref="C361:G361"/>
    <mergeCell ref="J361:N361"/>
    <mergeCell ref="C362:G362"/>
    <mergeCell ref="J362:N362"/>
    <mergeCell ref="B383:F383"/>
    <mergeCell ref="C387:G387"/>
    <mergeCell ref="C388:G388"/>
    <mergeCell ref="C389:G389"/>
    <mergeCell ref="C390:G390"/>
    <mergeCell ref="C391:G391"/>
    <mergeCell ref="C363:G363"/>
    <mergeCell ref="C364:G364"/>
    <mergeCell ref="C365:G365"/>
    <mergeCell ref="B403:F403"/>
    <mergeCell ref="B406:F406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14:C14"/>
    <mergeCell ref="D14:G14"/>
    <mergeCell ref="C97:G97"/>
    <mergeCell ref="C128:G128"/>
    <mergeCell ref="C129:G129"/>
    <mergeCell ref="C423:G423"/>
    <mergeCell ref="J423:N423"/>
    <mergeCell ref="C424:G424"/>
    <mergeCell ref="J424:N424"/>
    <mergeCell ref="C420:G420"/>
    <mergeCell ref="J420:N420"/>
    <mergeCell ref="C421:G421"/>
    <mergeCell ref="J421:N421"/>
    <mergeCell ref="C422:G422"/>
    <mergeCell ref="J422:N422"/>
    <mergeCell ref="J416:N416"/>
    <mergeCell ref="C417:G417"/>
    <mergeCell ref="J417:N417"/>
    <mergeCell ref="C418:G418"/>
    <mergeCell ref="J418:N418"/>
    <mergeCell ref="C419:G419"/>
    <mergeCell ref="J419:N419"/>
    <mergeCell ref="C398:G398"/>
    <mergeCell ref="C399:G399"/>
  </mergeCells>
  <dataValidations count="1">
    <dataValidation type="decimal" operator="greaterThanOrEqual" allowBlank="1" showInputMessage="1" showErrorMessage="1" error="يسمح بإدخال أرقام فقط." sqref="E20:E26 E42:E53 E74:E84 E104:E115 E136:E144 E162:E163 E165:E167 E181:E190 E193:E194 E215 E217:E223 E242:E269 E306:E331 E334:E335 E371:E381 E384:E385 E405 E407:E413 E432:E441 E447:E456" xr:uid="{00000000-0002-0000-09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9:O472"/>
  <sheetViews>
    <sheetView showGridLines="0" rightToLeft="1" zoomScaleNormal="100" zoomScaleSheetLayoutView="100" workbookViewId="0">
      <selection activeCell="C227" sqref="C227:G233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1:10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0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0" x14ac:dyDescent="0.2">
      <c r="B11" s="107"/>
      <c r="C11" s="107"/>
      <c r="D11" s="107"/>
      <c r="E11" s="107"/>
      <c r="F11" s="107"/>
      <c r="G11" s="107"/>
    </row>
    <row r="12" spans="1:10" s="1" customFormat="1" ht="15.75" thickBot="1" x14ac:dyDescent="0.35">
      <c r="B12" s="108"/>
      <c r="C12" s="108"/>
      <c r="D12" s="108"/>
      <c r="E12" s="108"/>
      <c r="F12" s="108"/>
      <c r="G12" s="108"/>
    </row>
    <row r="13" spans="1:10" s="1" customFormat="1" ht="34.5" customHeight="1" thickTop="1" thickBot="1" x14ac:dyDescent="0.35">
      <c r="B13" s="85" t="s">
        <v>164</v>
      </c>
      <c r="C13" s="86"/>
      <c r="D13" s="86"/>
      <c r="E13" s="86"/>
      <c r="F13" s="86"/>
      <c r="G13" s="87"/>
      <c r="H13" s="2"/>
      <c r="I13" s="2"/>
      <c r="J13" s="2"/>
    </row>
    <row r="14" spans="1:10" s="1" customFormat="1" ht="34.5" customHeight="1" thickTop="1" thickBot="1" x14ac:dyDescent="0.4">
      <c r="B14" s="110" t="s">
        <v>167</v>
      </c>
      <c r="C14" s="110"/>
      <c r="D14" s="110" t="str">
        <f>يناير!D14</f>
        <v>الوجاجه</v>
      </c>
      <c r="E14" s="110"/>
      <c r="F14" s="110"/>
      <c r="G14" s="110"/>
      <c r="H14" s="2"/>
      <c r="I14" s="2"/>
      <c r="J14" s="2"/>
    </row>
    <row r="15" spans="1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1:10" s="5" customFormat="1" ht="21.75" thickTop="1" thickBot="1" x14ac:dyDescent="0.25">
      <c r="B16" s="100" t="s">
        <v>131</v>
      </c>
      <c r="C16" s="101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>
        <v>0</v>
      </c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>
        <v>0</v>
      </c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>
        <v>0</v>
      </c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>
        <v>0</v>
      </c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>
        <v>0</v>
      </c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>
        <v>0</v>
      </c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>
        <v>0</v>
      </c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0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109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/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/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/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/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/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/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/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/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/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/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/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/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/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0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/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/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/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>
        <v>0</v>
      </c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>
        <v>0</v>
      </c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>
        <v>0</v>
      </c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>
        <v>0</v>
      </c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>
        <v>0</v>
      </c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>
        <v>0</v>
      </c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>
        <v>0</v>
      </c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>
        <v>0</v>
      </c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>
        <v>0</v>
      </c>
    </row>
    <row r="83" spans="2:14" s="5" customFormat="1" thickTop="1" thickBot="1" x14ac:dyDescent="0.25">
      <c r="B83" s="6">
        <v>10</v>
      </c>
      <c r="C83" s="6" t="s">
        <v>125</v>
      </c>
      <c r="D83" s="6" t="s">
        <v>28</v>
      </c>
      <c r="E83" s="60">
        <v>0</v>
      </c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>
        <v>0</v>
      </c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ht="16.5" customHeigh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</row>
    <row r="98" spans="2:14" s="5" customFormat="1" ht="19.5" customHeight="1" thickTop="1" thickBot="1" x14ac:dyDescent="0.25">
      <c r="B98" s="6">
        <v>11</v>
      </c>
      <c r="C98" s="67"/>
      <c r="D98" s="68"/>
      <c r="E98" s="68"/>
      <c r="F98" s="68"/>
      <c r="G98" s="69"/>
      <c r="H98" s="7"/>
      <c r="I98" s="7"/>
      <c r="J98" s="70"/>
      <c r="K98" s="70"/>
      <c r="L98" s="70"/>
      <c r="M98" s="70"/>
      <c r="N98" s="70"/>
    </row>
    <row r="99" spans="2:14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2.75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0"/>
      <c r="F104" s="11">
        <f t="shared" ref="F104:F115" si="0">E104/1000</f>
        <v>0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0"/>
      <c r="F105" s="11">
        <f t="shared" si="0"/>
        <v>0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0"/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0"/>
      <c r="F107" s="11">
        <f t="shared" si="0"/>
        <v>0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0"/>
      <c r="F108" s="11">
        <f t="shared" si="0"/>
        <v>0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0"/>
      <c r="F109" s="11">
        <f t="shared" si="0"/>
        <v>0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0"/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0"/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0"/>
      <c r="F112" s="11">
        <f t="shared" si="0"/>
        <v>0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0"/>
      <c r="F113" s="11">
        <f t="shared" si="0"/>
        <v>0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0"/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0"/>
      <c r="F115" s="11">
        <f t="shared" si="0"/>
        <v>0</v>
      </c>
      <c r="G115" s="13"/>
    </row>
    <row r="116" spans="2:14" s="5" customFormat="1" thickTop="1" thickBot="1" x14ac:dyDescent="0.25">
      <c r="B116" s="84" t="s">
        <v>80</v>
      </c>
      <c r="C116" s="84"/>
      <c r="D116" s="84"/>
      <c r="E116" s="36">
        <f>SUM(E104:E115)</f>
        <v>0</v>
      </c>
      <c r="F116" s="37">
        <f>SUM(F104:F115)</f>
        <v>0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/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7"/>
      <c r="D120" s="68"/>
      <c r="E120" s="68"/>
      <c r="F120" s="68"/>
      <c r="G120" s="69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/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/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/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ht="16.5" customHeight="1" thickTop="1" thickBot="1" x14ac:dyDescent="0.25">
      <c r="B127" s="6">
        <v>9</v>
      </c>
      <c r="C127" s="67"/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/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</row>
    <row r="129" spans="2:14" s="5" customFormat="1" ht="16.5" customHeigh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ht="16.5" customHeight="1" thickTop="1" thickBot="1" x14ac:dyDescent="0.25">
      <c r="B130" s="6">
        <v>12</v>
      </c>
      <c r="C130" s="67"/>
      <c r="D130" s="68"/>
      <c r="E130" s="68"/>
      <c r="F130" s="68"/>
      <c r="G130" s="69"/>
      <c r="H130" s="7"/>
      <c r="I130" s="7"/>
      <c r="J130" s="70"/>
      <c r="K130" s="70"/>
      <c r="L130" s="70"/>
      <c r="M130" s="70"/>
      <c r="N130" s="70"/>
    </row>
    <row r="131" spans="2:14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0"/>
      <c r="F136" s="11">
        <f>E136/1000</f>
        <v>0</v>
      </c>
    </row>
    <row r="137" spans="2:14" s="5" customFormat="1" thickTop="1" thickBot="1" x14ac:dyDescent="0.25">
      <c r="B137" s="6">
        <v>2</v>
      </c>
      <c r="C137" s="6" t="s">
        <v>57</v>
      </c>
      <c r="D137" s="6" t="s">
        <v>3</v>
      </c>
      <c r="E137" s="60"/>
      <c r="F137" s="11">
        <f t="shared" ref="F137:F144" si="1"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0"/>
      <c r="F138" s="11">
        <f t="shared" si="1"/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0"/>
      <c r="F139" s="11">
        <f t="shared" si="1"/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0"/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0"/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0"/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0"/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0"/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/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/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/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/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/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/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0"/>
      <c r="F181" s="11">
        <f>E181/1000</f>
        <v>0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0"/>
      <c r="F182" s="11">
        <f t="shared" ref="F182:F190" si="3">E182/1000</f>
        <v>0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0"/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0"/>
      <c r="F184" s="11">
        <f t="shared" si="3"/>
        <v>0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0"/>
      <c r="F185" s="11">
        <f t="shared" si="3"/>
        <v>0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0"/>
      <c r="F186" s="11">
        <f t="shared" si="3"/>
        <v>0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0"/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0"/>
      <c r="F188" s="11">
        <f t="shared" si="3"/>
        <v>0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0"/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0"/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0</v>
      </c>
      <c r="F191" s="37">
        <f>SUM(F181:F190)</f>
        <v>0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/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/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/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/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/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/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/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/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thickTop="1" thickBot="1" x14ac:dyDescent="0.25">
      <c r="B215" s="6">
        <v>1</v>
      </c>
      <c r="C215" s="6" t="s">
        <v>20</v>
      </c>
      <c r="D215" s="6" t="s">
        <v>62</v>
      </c>
      <c r="E215" s="60"/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0"/>
      <c r="F217" s="11">
        <f t="shared" ref="F217:F223" si="4">E217/1000</f>
        <v>0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0"/>
      <c r="F218" s="11">
        <f t="shared" si="4"/>
        <v>0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0"/>
      <c r="F219" s="11">
        <f t="shared" si="4"/>
        <v>0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0"/>
      <c r="F220" s="11">
        <f t="shared" si="4"/>
        <v>0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0"/>
      <c r="F221" s="11">
        <f t="shared" si="4"/>
        <v>0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0"/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0"/>
      <c r="F223" s="11">
        <f t="shared" si="4"/>
        <v>0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0</v>
      </c>
      <c r="F224" s="43">
        <f>SUM(F217:F223)</f>
        <v>0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/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/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/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/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/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/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/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>
        <v>0</v>
      </c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>
        <v>0</v>
      </c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>
        <v>0</v>
      </c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>
        <v>0</v>
      </c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>
        <v>0</v>
      </c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>
        <v>0</v>
      </c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>
        <v>0</v>
      </c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>
        <v>0</v>
      </c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>
        <v>0</v>
      </c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>
        <v>0</v>
      </c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>
        <v>0</v>
      </c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>
        <v>0</v>
      </c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>
        <v>0</v>
      </c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>
        <v>0</v>
      </c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>
        <v>0</v>
      </c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>
        <v>0</v>
      </c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>
        <v>0</v>
      </c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>
        <v>0</v>
      </c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>
        <v>0</v>
      </c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>
        <v>0</v>
      </c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>
        <v>0</v>
      </c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>
        <v>0</v>
      </c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>
        <v>0</v>
      </c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>
        <v>0</v>
      </c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>
        <v>0</v>
      </c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>
        <v>0</v>
      </c>
    </row>
    <row r="268" spans="2:14" s="5" customFormat="1" thickTop="1" thickBot="1" x14ac:dyDescent="0.25">
      <c r="B268" s="6">
        <v>27</v>
      </c>
      <c r="C268" s="6" t="s">
        <v>127</v>
      </c>
      <c r="D268" s="6" t="s">
        <v>28</v>
      </c>
      <c r="E268" s="60">
        <v>0</v>
      </c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>
        <v>0</v>
      </c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30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3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>
      <c r="B303" s="31"/>
    </row>
    <row r="304" spans="2:14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/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/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/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/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/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/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/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/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/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/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/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/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/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/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/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/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/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/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/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/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/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/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/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/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/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/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/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/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123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>
        <v>0</v>
      </c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>
        <v>0</v>
      </c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>
        <v>0</v>
      </c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>
        <v>0</v>
      </c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>
        <v>0</v>
      </c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>
        <v>0</v>
      </c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>
        <v>0</v>
      </c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>
        <v>0</v>
      </c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>
        <v>0</v>
      </c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>
        <v>0</v>
      </c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>
        <v>0</v>
      </c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/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/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123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>
        <v>0</v>
      </c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>
        <v>0</v>
      </c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>
        <v>0</v>
      </c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>
        <v>0</v>
      </c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>
        <v>0</v>
      </c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>
        <v>0</v>
      </c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>
        <v>0</v>
      </c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>
        <v>0</v>
      </c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2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/>
      <c r="D432" s="62"/>
      <c r="E432" s="60"/>
      <c r="F432" s="59"/>
      <c r="G432" s="59"/>
      <c r="H432" s="59"/>
      <c r="I432" s="2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/>
      <c r="D433" s="62"/>
      <c r="E433" s="60"/>
      <c r="F433" s="59"/>
      <c r="G433" s="59"/>
      <c r="H433" s="59"/>
      <c r="I433" s="2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/>
      <c r="D434" s="62"/>
      <c r="E434" s="60"/>
      <c r="F434" s="59"/>
      <c r="G434" s="59"/>
      <c r="H434" s="59"/>
      <c r="I434" s="2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2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2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2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2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2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2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27"/>
      <c r="J441" s="27"/>
      <c r="K441" s="27"/>
      <c r="L441" s="27"/>
      <c r="M441" s="27"/>
    </row>
    <row r="442" spans="2:13" s="5" customFormat="1" thickTop="1" thickBo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104"/>
      <c r="C444" s="10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2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/>
      <c r="D447" s="59"/>
      <c r="E447" s="60"/>
      <c r="F447" s="59"/>
      <c r="G447" s="59"/>
      <c r="H447" s="59"/>
      <c r="I447" s="2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/>
      <c r="D448" s="59"/>
      <c r="E448" s="60"/>
      <c r="F448" s="59"/>
      <c r="G448" s="59"/>
      <c r="H448" s="59"/>
      <c r="I448" s="2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2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2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2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2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2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2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2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27"/>
      <c r="J456" s="27"/>
      <c r="K456" s="27"/>
      <c r="L456" s="27"/>
      <c r="M456" s="27"/>
    </row>
    <row r="457" spans="2:13" s="5" customFormat="1" thickTop="1" thickBot="1" x14ac:dyDescent="0.25"/>
    <row r="458" spans="2:13" s="5" customFormat="1" ht="13.5" thickTop="1" x14ac:dyDescent="0.2">
      <c r="B458" s="102" t="s">
        <v>153</v>
      </c>
      <c r="C458" s="103"/>
    </row>
    <row r="459" spans="2:13" s="5" customFormat="1" ht="13.5" thickBot="1" x14ac:dyDescent="0.25">
      <c r="B459" s="104"/>
      <c r="C459" s="105"/>
    </row>
    <row r="460" spans="2:13" s="5" customFormat="1" thickTop="1" thickBot="1" x14ac:dyDescent="0.25"/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2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2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2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2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2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2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2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2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2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/>
  </sheetData>
  <sheetProtection algorithmName="SHA-512" hashValue="561ed2uKS+hfFPy/jGhOcygiBMU8uGphbNOdGXn1W8mczASAlNqFQK+UOJjUwUTGxjoq+TrsY9ymeX5MZIjlZA==" saltValue="5/MAUdV8cd73BrxxQEsCFQ==" spinCount="100000" sheet="1" objects="1" scenarios="1" selectLockedCells="1"/>
  <mergeCells count="339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19:G119"/>
    <mergeCell ref="J58:N58"/>
    <mergeCell ref="C59:G59"/>
    <mergeCell ref="J59:N59"/>
    <mergeCell ref="C60:G60"/>
    <mergeCell ref="J60:N60"/>
    <mergeCell ref="B40:E40"/>
    <mergeCell ref="B54:D54"/>
    <mergeCell ref="C56:G56"/>
    <mergeCell ref="J56:N56"/>
    <mergeCell ref="C57:G57"/>
    <mergeCell ref="J57:N57"/>
    <mergeCell ref="J64:N64"/>
    <mergeCell ref="C65:G65"/>
    <mergeCell ref="J65:N65"/>
    <mergeCell ref="C66:G66"/>
    <mergeCell ref="C67:G67"/>
    <mergeCell ref="C61:G61"/>
    <mergeCell ref="J61:N61"/>
    <mergeCell ref="C62:G62"/>
    <mergeCell ref="J62:N62"/>
    <mergeCell ref="C63:G63"/>
    <mergeCell ref="J63:N63"/>
    <mergeCell ref="J88:N88"/>
    <mergeCell ref="C89:G89"/>
    <mergeCell ref="J89:N89"/>
    <mergeCell ref="C90:G90"/>
    <mergeCell ref="J90:N90"/>
    <mergeCell ref="C68:G68"/>
    <mergeCell ref="J68:N68"/>
    <mergeCell ref="B72:E72"/>
    <mergeCell ref="B85:D85"/>
    <mergeCell ref="C87:G87"/>
    <mergeCell ref="J87:N87"/>
    <mergeCell ref="J94:N94"/>
    <mergeCell ref="C95:G95"/>
    <mergeCell ref="J95:N95"/>
    <mergeCell ref="C96:G96"/>
    <mergeCell ref="J96:N96"/>
    <mergeCell ref="C91:G91"/>
    <mergeCell ref="J91:N91"/>
    <mergeCell ref="C92:G92"/>
    <mergeCell ref="J92:N92"/>
    <mergeCell ref="C93:G93"/>
    <mergeCell ref="J93:N93"/>
    <mergeCell ref="J119:N119"/>
    <mergeCell ref="C120:G120"/>
    <mergeCell ref="J120:N120"/>
    <mergeCell ref="C121:G121"/>
    <mergeCell ref="J121:N121"/>
    <mergeCell ref="C98:G98"/>
    <mergeCell ref="J98:N98"/>
    <mergeCell ref="B102:F102"/>
    <mergeCell ref="B116:D116"/>
    <mergeCell ref="C118:G118"/>
    <mergeCell ref="J118:N118"/>
    <mergeCell ref="C125:G125"/>
    <mergeCell ref="J125:N125"/>
    <mergeCell ref="C126:G126"/>
    <mergeCell ref="J126:N126"/>
    <mergeCell ref="C127:G127"/>
    <mergeCell ref="C130:G130"/>
    <mergeCell ref="J130:N130"/>
    <mergeCell ref="C122:G122"/>
    <mergeCell ref="J122:N122"/>
    <mergeCell ref="C123:G123"/>
    <mergeCell ref="J123:N123"/>
    <mergeCell ref="C124:G124"/>
    <mergeCell ref="J124:N124"/>
    <mergeCell ref="C149:G149"/>
    <mergeCell ref="J149:N149"/>
    <mergeCell ref="C150:G150"/>
    <mergeCell ref="J150:N150"/>
    <mergeCell ref="C151:G151"/>
    <mergeCell ref="J151:N151"/>
    <mergeCell ref="B134:F134"/>
    <mergeCell ref="B145:D145"/>
    <mergeCell ref="C147:G147"/>
    <mergeCell ref="J147:N147"/>
    <mergeCell ref="C148:G148"/>
    <mergeCell ref="J148:N148"/>
    <mergeCell ref="C155:G155"/>
    <mergeCell ref="J155:N155"/>
    <mergeCell ref="C156:G156"/>
    <mergeCell ref="J156:N156"/>
    <mergeCell ref="B160:F160"/>
    <mergeCell ref="B164:F164"/>
    <mergeCell ref="C152:G152"/>
    <mergeCell ref="J152:N152"/>
    <mergeCell ref="C153:G153"/>
    <mergeCell ref="J153:N153"/>
    <mergeCell ref="C154:G154"/>
    <mergeCell ref="J154:N154"/>
    <mergeCell ref="C173:G173"/>
    <mergeCell ref="J173:N173"/>
    <mergeCell ref="C174:G174"/>
    <mergeCell ref="J174:N174"/>
    <mergeCell ref="C175:G175"/>
    <mergeCell ref="J175:N175"/>
    <mergeCell ref="B168:D168"/>
    <mergeCell ref="C170:G170"/>
    <mergeCell ref="J170:N170"/>
    <mergeCell ref="C171:G171"/>
    <mergeCell ref="J171:N171"/>
    <mergeCell ref="C172:G172"/>
    <mergeCell ref="J172:N172"/>
    <mergeCell ref="C198:G198"/>
    <mergeCell ref="J198:N198"/>
    <mergeCell ref="C199:G199"/>
    <mergeCell ref="J199:N199"/>
    <mergeCell ref="C200:G200"/>
    <mergeCell ref="J200:N200"/>
    <mergeCell ref="B179:F179"/>
    <mergeCell ref="B191:D191"/>
    <mergeCell ref="B192:F192"/>
    <mergeCell ref="C196:G196"/>
    <mergeCell ref="J196:N196"/>
    <mergeCell ref="C197:G197"/>
    <mergeCell ref="J197:N197"/>
    <mergeCell ref="C204:G204"/>
    <mergeCell ref="J204:N204"/>
    <mergeCell ref="C205:G205"/>
    <mergeCell ref="J205:N205"/>
    <mergeCell ref="C206:G206"/>
    <mergeCell ref="J206:N206"/>
    <mergeCell ref="C201:G201"/>
    <mergeCell ref="J201:N201"/>
    <mergeCell ref="C202:G202"/>
    <mergeCell ref="J202:N202"/>
    <mergeCell ref="C203:G203"/>
    <mergeCell ref="J203:N203"/>
    <mergeCell ref="B216:F216"/>
    <mergeCell ref="B224:D224"/>
    <mergeCell ref="C226:G226"/>
    <mergeCell ref="J226:N226"/>
    <mergeCell ref="C227:G227"/>
    <mergeCell ref="J227:N227"/>
    <mergeCell ref="C207:G207"/>
    <mergeCell ref="J207:N207"/>
    <mergeCell ref="C208:G208"/>
    <mergeCell ref="C209:G209"/>
    <mergeCell ref="J209:N209"/>
    <mergeCell ref="B213:F213"/>
    <mergeCell ref="C231:G231"/>
    <mergeCell ref="J231:N231"/>
    <mergeCell ref="C232:G232"/>
    <mergeCell ref="J232:N232"/>
    <mergeCell ref="C233:G233"/>
    <mergeCell ref="J233:N233"/>
    <mergeCell ref="C228:G228"/>
    <mergeCell ref="J228:N228"/>
    <mergeCell ref="C229:G229"/>
    <mergeCell ref="J229:N229"/>
    <mergeCell ref="C230:G230"/>
    <mergeCell ref="J230:N230"/>
    <mergeCell ref="C273:G273"/>
    <mergeCell ref="J273:N273"/>
    <mergeCell ref="C274:G274"/>
    <mergeCell ref="J274:N274"/>
    <mergeCell ref="C275:G275"/>
    <mergeCell ref="J275:N275"/>
    <mergeCell ref="C234:G234"/>
    <mergeCell ref="J234:N234"/>
    <mergeCell ref="B238:C238"/>
    <mergeCell ref="B240:E240"/>
    <mergeCell ref="B270:D270"/>
    <mergeCell ref="C272:G272"/>
    <mergeCell ref="J272:N272"/>
    <mergeCell ref="C279:G279"/>
    <mergeCell ref="J279:N279"/>
    <mergeCell ref="C280:G280"/>
    <mergeCell ref="J280:N280"/>
    <mergeCell ref="C281:G281"/>
    <mergeCell ref="J281:N281"/>
    <mergeCell ref="C276:G276"/>
    <mergeCell ref="J276:N276"/>
    <mergeCell ref="C277:G277"/>
    <mergeCell ref="J277:N277"/>
    <mergeCell ref="C278:G278"/>
    <mergeCell ref="J278:N278"/>
    <mergeCell ref="C285:G285"/>
    <mergeCell ref="J285:N285"/>
    <mergeCell ref="C286:G286"/>
    <mergeCell ref="J286:N286"/>
    <mergeCell ref="C287:G287"/>
    <mergeCell ref="J287:N287"/>
    <mergeCell ref="C282:G282"/>
    <mergeCell ref="J282:N282"/>
    <mergeCell ref="C283:G283"/>
    <mergeCell ref="J283:N283"/>
    <mergeCell ref="C284:G284"/>
    <mergeCell ref="J284:N284"/>
    <mergeCell ref="C291:G291"/>
    <mergeCell ref="J291:N291"/>
    <mergeCell ref="C292:G292"/>
    <mergeCell ref="J292:N292"/>
    <mergeCell ref="C293:G293"/>
    <mergeCell ref="J293:N293"/>
    <mergeCell ref="C288:G288"/>
    <mergeCell ref="J288:N288"/>
    <mergeCell ref="C289:G289"/>
    <mergeCell ref="J289:N289"/>
    <mergeCell ref="C290:G290"/>
    <mergeCell ref="J290:N290"/>
    <mergeCell ref="C297:G297"/>
    <mergeCell ref="J297:N297"/>
    <mergeCell ref="C298:G298"/>
    <mergeCell ref="C299:G299"/>
    <mergeCell ref="C300:G300"/>
    <mergeCell ref="C294:G294"/>
    <mergeCell ref="J294:N294"/>
    <mergeCell ref="C295:G295"/>
    <mergeCell ref="J295:N295"/>
    <mergeCell ref="C296:G296"/>
    <mergeCell ref="J296:N296"/>
    <mergeCell ref="C339:G339"/>
    <mergeCell ref="J339:N339"/>
    <mergeCell ref="C340:G340"/>
    <mergeCell ref="J340:N340"/>
    <mergeCell ref="C341:G341"/>
    <mergeCell ref="J341:N341"/>
    <mergeCell ref="B304:F304"/>
    <mergeCell ref="B332:D332"/>
    <mergeCell ref="B333:F333"/>
    <mergeCell ref="C337:G337"/>
    <mergeCell ref="J337:N337"/>
    <mergeCell ref="C338:G338"/>
    <mergeCell ref="J338:N338"/>
    <mergeCell ref="C345:G345"/>
    <mergeCell ref="J345:N345"/>
    <mergeCell ref="C346:G346"/>
    <mergeCell ref="J346:N346"/>
    <mergeCell ref="C347:G347"/>
    <mergeCell ref="J347:N347"/>
    <mergeCell ref="C342:G342"/>
    <mergeCell ref="J342:N342"/>
    <mergeCell ref="C343:G343"/>
    <mergeCell ref="J343:N343"/>
    <mergeCell ref="C344:G344"/>
    <mergeCell ref="J344:N344"/>
    <mergeCell ref="C351:G351"/>
    <mergeCell ref="J351:N351"/>
    <mergeCell ref="C352:G352"/>
    <mergeCell ref="J352:N352"/>
    <mergeCell ref="C353:G353"/>
    <mergeCell ref="J353:N353"/>
    <mergeCell ref="C348:G348"/>
    <mergeCell ref="J348:N348"/>
    <mergeCell ref="C349:G349"/>
    <mergeCell ref="J349:N349"/>
    <mergeCell ref="C350:G350"/>
    <mergeCell ref="J350:N350"/>
    <mergeCell ref="C357:G357"/>
    <mergeCell ref="J357:N357"/>
    <mergeCell ref="C358:G358"/>
    <mergeCell ref="J358:N358"/>
    <mergeCell ref="C359:G359"/>
    <mergeCell ref="J359:N359"/>
    <mergeCell ref="C354:G354"/>
    <mergeCell ref="J354:N354"/>
    <mergeCell ref="C355:G355"/>
    <mergeCell ref="J355:N355"/>
    <mergeCell ref="C356:G356"/>
    <mergeCell ref="J356:N356"/>
    <mergeCell ref="J365:N365"/>
    <mergeCell ref="B369:F369"/>
    <mergeCell ref="B382:D382"/>
    <mergeCell ref="C360:G360"/>
    <mergeCell ref="J360:N360"/>
    <mergeCell ref="C361:G361"/>
    <mergeCell ref="J361:N361"/>
    <mergeCell ref="C362:G362"/>
    <mergeCell ref="J362:N362"/>
    <mergeCell ref="B383:F383"/>
    <mergeCell ref="C387:G387"/>
    <mergeCell ref="C388:G388"/>
    <mergeCell ref="C389:G389"/>
    <mergeCell ref="C390:G390"/>
    <mergeCell ref="C391:G391"/>
    <mergeCell ref="C363:G363"/>
    <mergeCell ref="C364:G364"/>
    <mergeCell ref="C365:G365"/>
    <mergeCell ref="B403:F403"/>
    <mergeCell ref="B406:F406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14:C14"/>
    <mergeCell ref="D14:G14"/>
    <mergeCell ref="C97:G97"/>
    <mergeCell ref="C128:G128"/>
    <mergeCell ref="C129:G129"/>
    <mergeCell ref="C423:G423"/>
    <mergeCell ref="J423:N423"/>
    <mergeCell ref="C424:G424"/>
    <mergeCell ref="J424:N424"/>
    <mergeCell ref="C420:G420"/>
    <mergeCell ref="J420:N420"/>
    <mergeCell ref="C421:G421"/>
    <mergeCell ref="J421:N421"/>
    <mergeCell ref="C422:G422"/>
    <mergeCell ref="J422:N422"/>
    <mergeCell ref="J416:N416"/>
    <mergeCell ref="C417:G417"/>
    <mergeCell ref="J417:N417"/>
    <mergeCell ref="C418:G418"/>
    <mergeCell ref="J418:N418"/>
    <mergeCell ref="C419:G419"/>
    <mergeCell ref="J419:N419"/>
    <mergeCell ref="C398:G398"/>
    <mergeCell ref="C399:G399"/>
  </mergeCells>
  <dataValidations count="1">
    <dataValidation type="decimal" operator="greaterThanOrEqual" allowBlank="1" showInputMessage="1" showErrorMessage="1" error="يسمح بإدخال أرقام فقط." sqref="E20:E26 E42:E53 E74:E84 E104:E115 E136:E144 E162:E163 E165:E167 E181:E190 E193:E194 E215 E217:E223 E242:E269 E306:E331 E334:E335 E371:E381 E384:E385 E405 E407:E413 E432:E441 E447:E456" xr:uid="{00000000-0002-0000-0A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9:O472"/>
  <sheetViews>
    <sheetView showGridLines="0" rightToLeft="1" topLeftCell="A19" zoomScaleNormal="100" zoomScaleSheetLayoutView="100" workbookViewId="0">
      <selection activeCell="E24" sqref="E24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33.375" customWidth="1"/>
    <col min="10" max="10" width="15" customWidth="1"/>
  </cols>
  <sheetData>
    <row r="9" spans="1:10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0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0" x14ac:dyDescent="0.2">
      <c r="B11" s="107"/>
      <c r="C11" s="107"/>
      <c r="D11" s="107"/>
      <c r="E11" s="107"/>
      <c r="F11" s="107"/>
      <c r="G11" s="107"/>
    </row>
    <row r="12" spans="1:10" s="1" customFormat="1" ht="15.75" thickBot="1" x14ac:dyDescent="0.35">
      <c r="B12" s="108"/>
      <c r="C12" s="108"/>
      <c r="D12" s="108"/>
      <c r="E12" s="108"/>
      <c r="F12" s="108"/>
      <c r="G12" s="108"/>
    </row>
    <row r="13" spans="1:10" s="1" customFormat="1" ht="34.5" customHeight="1" thickTop="1" thickBot="1" x14ac:dyDescent="0.35">
      <c r="B13" s="85" t="s">
        <v>165</v>
      </c>
      <c r="C13" s="86"/>
      <c r="D13" s="86"/>
      <c r="E13" s="86"/>
      <c r="F13" s="86"/>
      <c r="G13" s="87"/>
      <c r="H13" s="2"/>
      <c r="I13" s="2"/>
      <c r="J13" s="2"/>
    </row>
    <row r="14" spans="1:10" s="1" customFormat="1" ht="34.5" customHeight="1" thickTop="1" thickBot="1" x14ac:dyDescent="0.4">
      <c r="B14" s="110" t="s">
        <v>167</v>
      </c>
      <c r="C14" s="110"/>
      <c r="D14" s="110" t="str">
        <f>يناير!D14</f>
        <v>الوجاجه</v>
      </c>
      <c r="E14" s="110"/>
      <c r="F14" s="110"/>
      <c r="G14" s="110"/>
      <c r="H14" s="2"/>
      <c r="I14" s="2"/>
      <c r="J14" s="2"/>
    </row>
    <row r="15" spans="1:10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</row>
    <row r="16" spans="1:10" s="5" customFormat="1" ht="21.75" thickTop="1" thickBot="1" x14ac:dyDescent="0.25">
      <c r="B16" s="100" t="s">
        <v>131</v>
      </c>
      <c r="C16" s="101"/>
    </row>
    <row r="17" spans="2:14" s="5" customFormat="1" thickTop="1" thickBot="1" x14ac:dyDescent="0.25"/>
    <row r="18" spans="2:14" s="5" customFormat="1" ht="17.25" thickTop="1" thickBot="1" x14ac:dyDescent="0.25">
      <c r="B18" s="71" t="s">
        <v>134</v>
      </c>
      <c r="C18" s="72"/>
      <c r="D18" s="72"/>
      <c r="E18" s="73"/>
    </row>
    <row r="19" spans="2:14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4" s="5" customFormat="1" thickTop="1" thickBot="1" x14ac:dyDescent="0.25">
      <c r="B20" s="6">
        <v>1</v>
      </c>
      <c r="C20" s="6" t="s">
        <v>31</v>
      </c>
      <c r="D20" s="6" t="s">
        <v>28</v>
      </c>
      <c r="E20" s="60"/>
      <c r="J20" s="7"/>
    </row>
    <row r="21" spans="2:14" s="5" customFormat="1" thickTop="1" thickBot="1" x14ac:dyDescent="0.25">
      <c r="B21" s="6">
        <v>2</v>
      </c>
      <c r="C21" s="6" t="s">
        <v>29</v>
      </c>
      <c r="D21" s="6" t="s">
        <v>28</v>
      </c>
      <c r="E21" s="60"/>
      <c r="G21" s="58"/>
      <c r="J21" s="7"/>
    </row>
    <row r="22" spans="2:14" s="5" customFormat="1" thickTop="1" thickBot="1" x14ac:dyDescent="0.25">
      <c r="B22" s="6">
        <v>3</v>
      </c>
      <c r="C22" s="6" t="s">
        <v>71</v>
      </c>
      <c r="D22" s="6" t="s">
        <v>28</v>
      </c>
      <c r="E22" s="60"/>
      <c r="J22" s="7"/>
    </row>
    <row r="23" spans="2:14" s="5" customFormat="1" thickTop="1" thickBot="1" x14ac:dyDescent="0.25">
      <c r="B23" s="6">
        <v>4</v>
      </c>
      <c r="C23" s="6" t="s">
        <v>30</v>
      </c>
      <c r="D23" s="6" t="s">
        <v>28</v>
      </c>
      <c r="E23" s="60"/>
    </row>
    <row r="24" spans="2:14" s="5" customFormat="1" thickTop="1" thickBot="1" x14ac:dyDescent="0.25">
      <c r="B24" s="6">
        <v>5</v>
      </c>
      <c r="C24" s="6" t="s">
        <v>27</v>
      </c>
      <c r="D24" s="6" t="s">
        <v>28</v>
      </c>
      <c r="E24" s="60"/>
    </row>
    <row r="25" spans="2:14" s="5" customFormat="1" thickTop="1" thickBot="1" x14ac:dyDescent="0.25">
      <c r="B25" s="6">
        <v>6</v>
      </c>
      <c r="C25" s="6" t="s">
        <v>47</v>
      </c>
      <c r="D25" s="6" t="s">
        <v>28</v>
      </c>
      <c r="E25" s="60"/>
    </row>
    <row r="26" spans="2:14" s="5" customFormat="1" thickTop="1" thickBot="1" x14ac:dyDescent="0.25">
      <c r="B26" s="6">
        <v>7</v>
      </c>
      <c r="C26" s="6" t="s">
        <v>48</v>
      </c>
      <c r="D26" s="6" t="s">
        <v>28</v>
      </c>
      <c r="E26" s="60"/>
    </row>
    <row r="27" spans="2:14" s="5" customFormat="1" thickTop="1" thickBot="1" x14ac:dyDescent="0.25">
      <c r="B27" s="74" t="s">
        <v>80</v>
      </c>
      <c r="C27" s="75"/>
      <c r="D27" s="76"/>
      <c r="E27" s="36">
        <f>SUM(E20:E26)</f>
        <v>0</v>
      </c>
    </row>
    <row r="28" spans="2:14" s="5" customFormat="1" thickTop="1" thickBot="1" x14ac:dyDescent="0.25"/>
    <row r="29" spans="2:14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</row>
    <row r="30" spans="2:14" s="5" customFormat="1" ht="17.25" customHeight="1" thickTop="1" thickBot="1" x14ac:dyDescent="0.25">
      <c r="B30" s="6">
        <v>1</v>
      </c>
      <c r="C30" s="67"/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</row>
    <row r="31" spans="2:14" s="5" customFormat="1" ht="17.25" customHeight="1" thickTop="1" thickBot="1" x14ac:dyDescent="0.25">
      <c r="B31" s="6">
        <v>2</v>
      </c>
      <c r="C31" s="67"/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</row>
    <row r="32" spans="2:14" s="5" customFormat="1" ht="17.25" customHeight="1" thickTop="1" thickBot="1" x14ac:dyDescent="0.25">
      <c r="B32" s="6">
        <v>3</v>
      </c>
      <c r="C32" s="67"/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</row>
    <row r="33" spans="2:14" s="5" customFormat="1" ht="17.25" customHeight="1" thickTop="1" thickBot="1" x14ac:dyDescent="0.25">
      <c r="B33" s="6">
        <v>4</v>
      </c>
      <c r="C33" s="67"/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</row>
    <row r="34" spans="2:14" s="5" customFormat="1" ht="17.25" customHeight="1" thickTop="1" thickBot="1" x14ac:dyDescent="0.25">
      <c r="B34" s="6">
        <v>5</v>
      </c>
      <c r="C34" s="67"/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</row>
    <row r="35" spans="2:14" s="5" customFormat="1" ht="17.25" customHeight="1" thickTop="1" thickBot="1" x14ac:dyDescent="0.25">
      <c r="B35" s="6">
        <v>6</v>
      </c>
      <c r="C35" s="67"/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</row>
    <row r="36" spans="2:14" s="5" customFormat="1" ht="17.25" customHeight="1" thickTop="1" thickBot="1" x14ac:dyDescent="0.25">
      <c r="B36" s="6">
        <v>7</v>
      </c>
      <c r="C36" s="67"/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</row>
    <row r="37" spans="2:14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</row>
    <row r="38" spans="2:14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</row>
    <row r="39" spans="2:14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 s="5" customFormat="1" ht="17.25" thickTop="1" thickBot="1" x14ac:dyDescent="0.25">
      <c r="B40" s="71" t="s">
        <v>135</v>
      </c>
      <c r="C40" s="72"/>
      <c r="D40" s="72"/>
      <c r="E40" s="73"/>
    </row>
    <row r="41" spans="2:14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4" s="5" customFormat="1" thickTop="1" thickBot="1" x14ac:dyDescent="0.25">
      <c r="B42" s="6">
        <v>1</v>
      </c>
      <c r="C42" s="6" t="s">
        <v>32</v>
      </c>
      <c r="D42" s="6" t="s">
        <v>28</v>
      </c>
      <c r="E42" s="60"/>
    </row>
    <row r="43" spans="2:14" s="5" customFormat="1" thickTop="1" thickBot="1" x14ac:dyDescent="0.25">
      <c r="B43" s="6">
        <v>2</v>
      </c>
      <c r="C43" s="6" t="s">
        <v>33</v>
      </c>
      <c r="D43" s="6" t="s">
        <v>28</v>
      </c>
      <c r="E43" s="60"/>
    </row>
    <row r="44" spans="2:14" s="5" customFormat="1" thickTop="1" thickBot="1" x14ac:dyDescent="0.25">
      <c r="B44" s="6">
        <v>3</v>
      </c>
      <c r="C44" s="6" t="s">
        <v>34</v>
      </c>
      <c r="D44" s="6" t="s">
        <v>28</v>
      </c>
      <c r="E44" s="60"/>
    </row>
    <row r="45" spans="2:14" s="5" customFormat="1" thickTop="1" thickBot="1" x14ac:dyDescent="0.25">
      <c r="B45" s="6">
        <v>4</v>
      </c>
      <c r="C45" s="6" t="s">
        <v>35</v>
      </c>
      <c r="D45" s="6" t="s">
        <v>28</v>
      </c>
      <c r="E45" s="60"/>
    </row>
    <row r="46" spans="2:14" s="5" customFormat="1" thickTop="1" thickBot="1" x14ac:dyDescent="0.25">
      <c r="B46" s="6">
        <v>5</v>
      </c>
      <c r="C46" s="6" t="s">
        <v>49</v>
      </c>
      <c r="D46" s="6" t="s">
        <v>28</v>
      </c>
      <c r="E46" s="60"/>
    </row>
    <row r="47" spans="2:14" s="5" customFormat="1" ht="27" thickTop="1" thickBot="1" x14ac:dyDescent="0.25">
      <c r="B47" s="6">
        <v>6</v>
      </c>
      <c r="C47" s="9" t="s">
        <v>102</v>
      </c>
      <c r="D47" s="6" t="s">
        <v>28</v>
      </c>
      <c r="E47" s="60"/>
    </row>
    <row r="48" spans="2:14" s="5" customFormat="1" thickTop="1" thickBot="1" x14ac:dyDescent="0.25">
      <c r="B48" s="6">
        <v>7</v>
      </c>
      <c r="C48" s="6" t="s">
        <v>50</v>
      </c>
      <c r="D48" s="6" t="s">
        <v>28</v>
      </c>
      <c r="E48" s="60"/>
    </row>
    <row r="49" spans="2:14" s="5" customFormat="1" ht="27" thickTop="1" thickBot="1" x14ac:dyDescent="0.25">
      <c r="B49" s="6">
        <v>8</v>
      </c>
      <c r="C49" s="9" t="s">
        <v>103</v>
      </c>
      <c r="D49" s="6" t="s">
        <v>28</v>
      </c>
      <c r="E49" s="60"/>
    </row>
    <row r="50" spans="2:14" s="5" customFormat="1" ht="27" thickTop="1" thickBot="1" x14ac:dyDescent="0.25">
      <c r="B50" s="6">
        <v>9</v>
      </c>
      <c r="C50" s="9" t="s">
        <v>104</v>
      </c>
      <c r="D50" s="6" t="s">
        <v>28</v>
      </c>
      <c r="E50" s="60"/>
    </row>
    <row r="51" spans="2:14" s="5" customFormat="1" thickTop="1" thickBot="1" x14ac:dyDescent="0.25">
      <c r="B51" s="6">
        <v>10</v>
      </c>
      <c r="C51" s="9" t="s">
        <v>111</v>
      </c>
      <c r="D51" s="6" t="s">
        <v>28</v>
      </c>
      <c r="E51" s="60"/>
    </row>
    <row r="52" spans="2:14" s="5" customFormat="1" thickTop="1" thickBot="1" x14ac:dyDescent="0.25">
      <c r="B52" s="6">
        <v>11</v>
      </c>
      <c r="C52" s="9" t="s">
        <v>112</v>
      </c>
      <c r="D52" s="6" t="s">
        <v>28</v>
      </c>
      <c r="E52" s="60"/>
    </row>
    <row r="53" spans="2:14" s="5" customFormat="1" thickTop="1" thickBot="1" x14ac:dyDescent="0.25">
      <c r="B53" s="6">
        <v>12</v>
      </c>
      <c r="C53" s="6" t="s">
        <v>51</v>
      </c>
      <c r="D53" s="6" t="s">
        <v>28</v>
      </c>
      <c r="E53" s="60"/>
    </row>
    <row r="54" spans="2:14" s="5" customFormat="1" thickTop="1" thickBot="1" x14ac:dyDescent="0.25">
      <c r="B54" s="74" t="s">
        <v>77</v>
      </c>
      <c r="C54" s="75"/>
      <c r="D54" s="76"/>
      <c r="E54" s="36">
        <f>SUM(E42:E53)</f>
        <v>0</v>
      </c>
    </row>
    <row r="55" spans="2:14" s="5" customFormat="1" thickTop="1" thickBot="1" x14ac:dyDescent="0.25"/>
    <row r="56" spans="2:14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0"/>
      <c r="K56" s="70"/>
      <c r="L56" s="70"/>
      <c r="M56" s="70"/>
      <c r="N56" s="70"/>
    </row>
    <row r="57" spans="2:14" s="5" customFormat="1" thickTop="1" thickBot="1" x14ac:dyDescent="0.25">
      <c r="B57" s="6">
        <v>1</v>
      </c>
      <c r="C57" s="67"/>
      <c r="D57" s="68"/>
      <c r="E57" s="68"/>
      <c r="F57" s="68"/>
      <c r="G57" s="69"/>
      <c r="H57" s="7"/>
      <c r="I57" s="7"/>
      <c r="J57" s="70"/>
      <c r="K57" s="70"/>
      <c r="L57" s="70"/>
      <c r="M57" s="70"/>
      <c r="N57" s="70"/>
    </row>
    <row r="58" spans="2:14" s="5" customFormat="1" thickTop="1" thickBot="1" x14ac:dyDescent="0.25">
      <c r="B58" s="6">
        <v>2</v>
      </c>
      <c r="C58" s="67"/>
      <c r="D58" s="68"/>
      <c r="E58" s="68"/>
      <c r="F58" s="68"/>
      <c r="G58" s="69"/>
      <c r="H58" s="7"/>
      <c r="I58" s="7"/>
      <c r="J58" s="70"/>
      <c r="K58" s="70"/>
      <c r="L58" s="70"/>
      <c r="M58" s="70"/>
      <c r="N58" s="70"/>
    </row>
    <row r="59" spans="2:14" s="5" customFormat="1" thickTop="1" thickBot="1" x14ac:dyDescent="0.25">
      <c r="B59" s="6">
        <v>3</v>
      </c>
      <c r="C59" s="67"/>
      <c r="D59" s="68"/>
      <c r="E59" s="68"/>
      <c r="F59" s="68"/>
      <c r="G59" s="69"/>
      <c r="H59" s="10"/>
      <c r="I59" s="7"/>
      <c r="J59" s="70"/>
      <c r="K59" s="70"/>
      <c r="L59" s="70"/>
      <c r="M59" s="70"/>
      <c r="N59" s="70"/>
    </row>
    <row r="60" spans="2:14" s="5" customFormat="1" thickTop="1" thickBot="1" x14ac:dyDescent="0.25">
      <c r="B60" s="6">
        <v>4</v>
      </c>
      <c r="C60" s="67"/>
      <c r="D60" s="68"/>
      <c r="E60" s="68"/>
      <c r="F60" s="68"/>
      <c r="G60" s="69"/>
      <c r="H60" s="10"/>
      <c r="I60" s="7"/>
      <c r="J60" s="70"/>
      <c r="K60" s="70"/>
      <c r="L60" s="70"/>
      <c r="M60" s="70"/>
      <c r="N60" s="70"/>
    </row>
    <row r="61" spans="2:14" s="5" customFormat="1" thickTop="1" thickBot="1" x14ac:dyDescent="0.25">
      <c r="B61" s="6">
        <v>5</v>
      </c>
      <c r="C61" s="67"/>
      <c r="D61" s="68"/>
      <c r="E61" s="68"/>
      <c r="F61" s="68"/>
      <c r="G61" s="69"/>
      <c r="H61" s="10"/>
      <c r="I61" s="7"/>
      <c r="J61" s="70"/>
      <c r="K61" s="70"/>
      <c r="L61" s="70"/>
      <c r="M61" s="70"/>
      <c r="N61" s="70"/>
    </row>
    <row r="62" spans="2:14" s="5" customFormat="1" thickTop="1" thickBot="1" x14ac:dyDescent="0.25">
      <c r="B62" s="6">
        <v>6</v>
      </c>
      <c r="C62" s="67"/>
      <c r="D62" s="68"/>
      <c r="E62" s="68"/>
      <c r="F62" s="68"/>
      <c r="G62" s="69"/>
      <c r="H62" s="10"/>
      <c r="I62" s="7"/>
      <c r="J62" s="70"/>
      <c r="K62" s="70"/>
      <c r="L62" s="70"/>
      <c r="M62" s="70"/>
      <c r="N62" s="70"/>
    </row>
    <row r="63" spans="2:14" s="5" customFormat="1" thickTop="1" thickBot="1" x14ac:dyDescent="0.25">
      <c r="B63" s="6">
        <v>7</v>
      </c>
      <c r="C63" s="67"/>
      <c r="D63" s="68"/>
      <c r="E63" s="68"/>
      <c r="F63" s="68"/>
      <c r="G63" s="69"/>
      <c r="H63" s="10"/>
      <c r="I63" s="7"/>
      <c r="J63" s="70"/>
      <c r="K63" s="70"/>
      <c r="L63" s="70"/>
      <c r="M63" s="70"/>
      <c r="N63" s="70"/>
    </row>
    <row r="64" spans="2:14" s="5" customFormat="1" thickTop="1" thickBot="1" x14ac:dyDescent="0.25">
      <c r="B64" s="6">
        <v>8</v>
      </c>
      <c r="C64" s="67"/>
      <c r="D64" s="68"/>
      <c r="E64" s="68"/>
      <c r="F64" s="68"/>
      <c r="G64" s="69"/>
      <c r="H64" s="10"/>
      <c r="I64" s="7"/>
      <c r="J64" s="70"/>
      <c r="K64" s="70"/>
      <c r="L64" s="70"/>
      <c r="M64" s="70"/>
      <c r="N64" s="70"/>
    </row>
    <row r="65" spans="2:14" s="5" customFormat="1" thickTop="1" thickBot="1" x14ac:dyDescent="0.25">
      <c r="B65" s="6">
        <v>9</v>
      </c>
      <c r="C65" s="67"/>
      <c r="D65" s="68"/>
      <c r="E65" s="68"/>
      <c r="F65" s="68"/>
      <c r="G65" s="69"/>
      <c r="H65" s="10"/>
      <c r="I65" s="7"/>
      <c r="J65" s="70"/>
      <c r="K65" s="70"/>
      <c r="L65" s="70"/>
      <c r="M65" s="70"/>
      <c r="N65" s="70"/>
    </row>
    <row r="66" spans="2:14" s="5" customFormat="1" thickTop="1" thickBot="1" x14ac:dyDescent="0.25">
      <c r="B66" s="6">
        <v>10</v>
      </c>
      <c r="C66" s="67"/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</row>
    <row r="67" spans="2:14" s="5" customFormat="1" thickTop="1" thickBot="1" x14ac:dyDescent="0.25">
      <c r="B67" s="6">
        <v>11</v>
      </c>
      <c r="C67" s="67"/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</row>
    <row r="68" spans="2:14" s="5" customFormat="1" thickTop="1" thickBot="1" x14ac:dyDescent="0.25">
      <c r="B68" s="6">
        <v>12</v>
      </c>
      <c r="C68" s="67"/>
      <c r="D68" s="68"/>
      <c r="E68" s="68"/>
      <c r="F68" s="68"/>
      <c r="G68" s="69"/>
      <c r="H68" s="7"/>
      <c r="I68" s="7"/>
      <c r="J68" s="70"/>
      <c r="K68" s="70"/>
      <c r="L68" s="70"/>
      <c r="M68" s="70"/>
      <c r="N68" s="70"/>
    </row>
    <row r="69" spans="2:14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</row>
    <row r="70" spans="2:14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</row>
    <row r="71" spans="2:14" s="5" customFormat="1" ht="13.5" thickBot="1" x14ac:dyDescent="0.25"/>
    <row r="72" spans="2:14" s="5" customFormat="1" ht="21" customHeight="1" thickTop="1" thickBot="1" x14ac:dyDescent="0.25">
      <c r="B72" s="71" t="s">
        <v>136</v>
      </c>
      <c r="C72" s="72"/>
      <c r="D72" s="72"/>
      <c r="E72" s="73"/>
    </row>
    <row r="73" spans="2:14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4" s="5" customFormat="1" thickTop="1" thickBot="1" x14ac:dyDescent="0.25">
      <c r="B74" s="6">
        <v>1</v>
      </c>
      <c r="C74" s="6" t="s">
        <v>36</v>
      </c>
      <c r="D74" s="6" t="s">
        <v>28</v>
      </c>
      <c r="E74" s="60"/>
    </row>
    <row r="75" spans="2:14" s="5" customFormat="1" ht="27" thickTop="1" thickBot="1" x14ac:dyDescent="0.25">
      <c r="B75" s="6">
        <v>2</v>
      </c>
      <c r="C75" s="9" t="s">
        <v>105</v>
      </c>
      <c r="D75" s="6" t="s">
        <v>28</v>
      </c>
      <c r="E75" s="60"/>
    </row>
    <row r="76" spans="2:14" s="5" customFormat="1" thickTop="1" thickBot="1" x14ac:dyDescent="0.25">
      <c r="B76" s="6">
        <v>3</v>
      </c>
      <c r="C76" s="6" t="s">
        <v>52</v>
      </c>
      <c r="D76" s="6" t="s">
        <v>28</v>
      </c>
      <c r="E76" s="60"/>
    </row>
    <row r="77" spans="2:14" s="5" customFormat="1" thickTop="1" thickBot="1" x14ac:dyDescent="0.25">
      <c r="B77" s="6">
        <v>4</v>
      </c>
      <c r="C77" s="6" t="s">
        <v>37</v>
      </c>
      <c r="D77" s="6" t="s">
        <v>53</v>
      </c>
      <c r="E77" s="60"/>
    </row>
    <row r="78" spans="2:14" s="5" customFormat="1" thickTop="1" thickBot="1" x14ac:dyDescent="0.25">
      <c r="B78" s="6">
        <v>5</v>
      </c>
      <c r="C78" s="6" t="s">
        <v>106</v>
      </c>
      <c r="D78" s="6" t="s">
        <v>28</v>
      </c>
      <c r="E78" s="60"/>
    </row>
    <row r="79" spans="2:14" s="5" customFormat="1" thickTop="1" thickBot="1" x14ac:dyDescent="0.25">
      <c r="B79" s="6">
        <v>6</v>
      </c>
      <c r="C79" s="6" t="s">
        <v>107</v>
      </c>
      <c r="D79" s="6" t="s">
        <v>28</v>
      </c>
      <c r="E79" s="60"/>
    </row>
    <row r="80" spans="2:14" s="5" customFormat="1" thickTop="1" thickBot="1" x14ac:dyDescent="0.25">
      <c r="B80" s="6">
        <v>7</v>
      </c>
      <c r="C80" s="6" t="s">
        <v>108</v>
      </c>
      <c r="D80" s="6" t="s">
        <v>28</v>
      </c>
      <c r="E80" s="60"/>
    </row>
    <row r="81" spans="2:14" s="5" customFormat="1" thickTop="1" thickBot="1" x14ac:dyDescent="0.25">
      <c r="B81" s="6">
        <v>8</v>
      </c>
      <c r="C81" s="6" t="s">
        <v>38</v>
      </c>
      <c r="D81" s="6" t="s">
        <v>28</v>
      </c>
      <c r="E81" s="60"/>
    </row>
    <row r="82" spans="2:14" s="5" customFormat="1" thickTop="1" thickBot="1" x14ac:dyDescent="0.25">
      <c r="B82" s="6">
        <v>9</v>
      </c>
      <c r="C82" s="6" t="s">
        <v>110</v>
      </c>
      <c r="D82" s="6" t="s">
        <v>28</v>
      </c>
      <c r="E82" s="60"/>
    </row>
    <row r="83" spans="2:14" s="5" customFormat="1" thickTop="1" thickBot="1" x14ac:dyDescent="0.25">
      <c r="B83" s="6">
        <v>10</v>
      </c>
      <c r="C83" s="6" t="s">
        <v>129</v>
      </c>
      <c r="D83" s="6" t="s">
        <v>28</v>
      </c>
      <c r="E83" s="60"/>
    </row>
    <row r="84" spans="2:14" s="5" customFormat="1" thickTop="1" thickBot="1" x14ac:dyDescent="0.25">
      <c r="B84" s="6">
        <v>11</v>
      </c>
      <c r="C84" s="6" t="s">
        <v>109</v>
      </c>
      <c r="D84" s="6" t="s">
        <v>28</v>
      </c>
      <c r="E84" s="60"/>
    </row>
    <row r="85" spans="2:14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4" s="5" customFormat="1" thickTop="1" thickBot="1" x14ac:dyDescent="0.25"/>
    <row r="87" spans="2:14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0"/>
      <c r="K87" s="70"/>
      <c r="L87" s="70"/>
      <c r="M87" s="70"/>
      <c r="N87" s="70"/>
    </row>
    <row r="88" spans="2:14" s="5" customFormat="1" thickTop="1" thickBot="1" x14ac:dyDescent="0.25">
      <c r="B88" s="6">
        <v>1</v>
      </c>
      <c r="C88" s="67"/>
      <c r="D88" s="68"/>
      <c r="E88" s="68"/>
      <c r="F88" s="68"/>
      <c r="G88" s="69"/>
      <c r="H88" s="7"/>
      <c r="I88" s="7"/>
      <c r="J88" s="70"/>
      <c r="K88" s="70"/>
      <c r="L88" s="70"/>
      <c r="M88" s="70"/>
      <c r="N88" s="70"/>
    </row>
    <row r="89" spans="2:14" s="5" customFormat="1" thickTop="1" thickBot="1" x14ac:dyDescent="0.25">
      <c r="B89" s="6">
        <v>2</v>
      </c>
      <c r="C89" s="67"/>
      <c r="D89" s="68"/>
      <c r="E89" s="68"/>
      <c r="F89" s="68"/>
      <c r="G89" s="69"/>
      <c r="H89" s="10"/>
      <c r="I89" s="7"/>
      <c r="J89" s="70"/>
      <c r="K89" s="70"/>
      <c r="L89" s="70"/>
      <c r="M89" s="70"/>
      <c r="N89" s="70"/>
    </row>
    <row r="90" spans="2:14" s="5" customFormat="1" thickTop="1" thickBot="1" x14ac:dyDescent="0.25">
      <c r="B90" s="6">
        <v>3</v>
      </c>
      <c r="C90" s="67"/>
      <c r="D90" s="68"/>
      <c r="E90" s="68"/>
      <c r="F90" s="68"/>
      <c r="G90" s="69"/>
      <c r="H90" s="10"/>
      <c r="I90" s="7"/>
      <c r="J90" s="70"/>
      <c r="K90" s="70"/>
      <c r="L90" s="70"/>
      <c r="M90" s="70"/>
      <c r="N90" s="70"/>
    </row>
    <row r="91" spans="2:14" s="5" customFormat="1" thickTop="1" thickBot="1" x14ac:dyDescent="0.25">
      <c r="B91" s="6">
        <v>4</v>
      </c>
      <c r="C91" s="67"/>
      <c r="D91" s="68"/>
      <c r="E91" s="68"/>
      <c r="F91" s="68"/>
      <c r="G91" s="69"/>
      <c r="H91" s="7"/>
      <c r="I91" s="7"/>
      <c r="J91" s="70"/>
      <c r="K91" s="70"/>
      <c r="L91" s="70"/>
      <c r="M91" s="70"/>
      <c r="N91" s="70"/>
    </row>
    <row r="92" spans="2:14" s="5" customFormat="1" thickTop="1" thickBot="1" x14ac:dyDescent="0.25">
      <c r="B92" s="6">
        <v>5</v>
      </c>
      <c r="C92" s="67"/>
      <c r="D92" s="68"/>
      <c r="E92" s="68"/>
      <c r="F92" s="68"/>
      <c r="G92" s="69"/>
      <c r="H92" s="7"/>
      <c r="I92" s="7"/>
      <c r="J92" s="70"/>
      <c r="K92" s="70"/>
      <c r="L92" s="70"/>
      <c r="M92" s="70"/>
      <c r="N92" s="70"/>
    </row>
    <row r="93" spans="2:14" s="5" customFormat="1" thickTop="1" thickBot="1" x14ac:dyDescent="0.25">
      <c r="B93" s="6">
        <v>6</v>
      </c>
      <c r="C93" s="67"/>
      <c r="D93" s="68"/>
      <c r="E93" s="68"/>
      <c r="F93" s="68"/>
      <c r="G93" s="69"/>
      <c r="H93" s="7"/>
      <c r="I93" s="7"/>
      <c r="J93" s="70"/>
      <c r="K93" s="70"/>
      <c r="L93" s="70"/>
      <c r="M93" s="70"/>
      <c r="N93" s="70"/>
    </row>
    <row r="94" spans="2:14" s="5" customFormat="1" thickTop="1" thickBot="1" x14ac:dyDescent="0.25">
      <c r="B94" s="6">
        <v>7</v>
      </c>
      <c r="C94" s="67"/>
      <c r="D94" s="68"/>
      <c r="E94" s="68"/>
      <c r="F94" s="68"/>
      <c r="G94" s="69"/>
      <c r="H94" s="7"/>
      <c r="I94" s="7"/>
      <c r="J94" s="70"/>
      <c r="K94" s="70"/>
      <c r="L94" s="70"/>
      <c r="M94" s="70"/>
      <c r="N94" s="70"/>
    </row>
    <row r="95" spans="2:14" s="5" customFormat="1" thickTop="1" thickBot="1" x14ac:dyDescent="0.25">
      <c r="B95" s="6">
        <v>8</v>
      </c>
      <c r="C95" s="67"/>
      <c r="D95" s="68"/>
      <c r="E95" s="68"/>
      <c r="F95" s="68"/>
      <c r="G95" s="69"/>
      <c r="H95" s="7"/>
      <c r="I95" s="7"/>
      <c r="J95" s="70"/>
      <c r="K95" s="70"/>
      <c r="L95" s="70"/>
      <c r="M95" s="70"/>
      <c r="N95" s="70"/>
    </row>
    <row r="96" spans="2:14" s="5" customFormat="1" thickTop="1" thickBot="1" x14ac:dyDescent="0.25">
      <c r="B96" s="6">
        <v>9</v>
      </c>
      <c r="C96" s="67"/>
      <c r="D96" s="68"/>
      <c r="E96" s="68"/>
      <c r="F96" s="68"/>
      <c r="G96" s="69"/>
      <c r="H96" s="7"/>
      <c r="I96" s="7"/>
      <c r="J96" s="70"/>
      <c r="K96" s="70"/>
      <c r="L96" s="70"/>
      <c r="M96" s="70"/>
      <c r="N96" s="70"/>
    </row>
    <row r="97" spans="2:14" s="5" customFormat="1" ht="16.5" customHeight="1" thickTop="1" thickBot="1" x14ac:dyDescent="0.25">
      <c r="B97" s="6">
        <v>10</v>
      </c>
      <c r="C97" s="67"/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</row>
    <row r="98" spans="2:14" s="5" customFormat="1" ht="19.5" customHeight="1" thickTop="1" thickBot="1" x14ac:dyDescent="0.25">
      <c r="B98" s="6">
        <v>11</v>
      </c>
      <c r="C98" s="67"/>
      <c r="D98" s="68"/>
      <c r="E98" s="68"/>
      <c r="F98" s="68"/>
      <c r="G98" s="69"/>
      <c r="H98" s="7"/>
      <c r="I98" s="7"/>
      <c r="J98" s="70"/>
      <c r="K98" s="70"/>
      <c r="L98" s="70"/>
      <c r="M98" s="70"/>
      <c r="N98" s="70"/>
    </row>
    <row r="99" spans="2:14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</row>
    <row r="100" spans="2:14" s="5" customFormat="1" ht="12.75" x14ac:dyDescent="0.2"/>
    <row r="101" spans="2:14" s="5" customFormat="1" ht="13.5" thickBot="1" x14ac:dyDescent="0.25"/>
    <row r="102" spans="2:14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4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4" s="5" customFormat="1" thickTop="1" thickBot="1" x14ac:dyDescent="0.25">
      <c r="B104" s="6">
        <v>1</v>
      </c>
      <c r="C104" s="24" t="s">
        <v>56</v>
      </c>
      <c r="D104" s="6" t="s">
        <v>3</v>
      </c>
      <c r="E104" s="60"/>
      <c r="F104" s="11">
        <f t="shared" ref="F104:F115" si="0">E104/1000</f>
        <v>0</v>
      </c>
      <c r="G104" s="7"/>
    </row>
    <row r="105" spans="2:14" s="5" customFormat="1" ht="27" thickTop="1" thickBot="1" x14ac:dyDescent="0.25">
      <c r="B105" s="6">
        <v>2</v>
      </c>
      <c r="C105" s="12" t="s">
        <v>97</v>
      </c>
      <c r="D105" s="6" t="s">
        <v>3</v>
      </c>
      <c r="E105" s="60"/>
      <c r="F105" s="11">
        <f t="shared" si="0"/>
        <v>0</v>
      </c>
      <c r="G105" s="7"/>
    </row>
    <row r="106" spans="2:14" s="5" customFormat="1" thickTop="1" thickBot="1" x14ac:dyDescent="0.25">
      <c r="B106" s="6">
        <v>3</v>
      </c>
      <c r="C106" s="12" t="s">
        <v>99</v>
      </c>
      <c r="D106" s="6" t="s">
        <v>3</v>
      </c>
      <c r="E106" s="60"/>
      <c r="F106" s="11">
        <f t="shared" si="0"/>
        <v>0</v>
      </c>
      <c r="G106" s="7"/>
    </row>
    <row r="107" spans="2:14" s="5" customFormat="1" thickTop="1" thickBot="1" x14ac:dyDescent="0.25">
      <c r="B107" s="6">
        <v>4</v>
      </c>
      <c r="C107" s="24" t="s">
        <v>2</v>
      </c>
      <c r="D107" s="6" t="s">
        <v>3</v>
      </c>
      <c r="E107" s="60"/>
      <c r="F107" s="11">
        <f t="shared" si="0"/>
        <v>0</v>
      </c>
      <c r="G107" s="13"/>
    </row>
    <row r="108" spans="2:14" s="5" customFormat="1" thickTop="1" thickBot="1" x14ac:dyDescent="0.25">
      <c r="B108" s="6">
        <v>5</v>
      </c>
      <c r="C108" s="24" t="s">
        <v>54</v>
      </c>
      <c r="D108" s="6" t="s">
        <v>3</v>
      </c>
      <c r="E108" s="60"/>
      <c r="F108" s="11">
        <f t="shared" si="0"/>
        <v>0</v>
      </c>
      <c r="G108" s="13"/>
    </row>
    <row r="109" spans="2:14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0"/>
      <c r="F109" s="11">
        <f t="shared" si="0"/>
        <v>0</v>
      </c>
      <c r="G109" s="13"/>
    </row>
    <row r="110" spans="2:14" s="5" customFormat="1" thickTop="1" thickBot="1" x14ac:dyDescent="0.25">
      <c r="B110" s="6">
        <v>7</v>
      </c>
      <c r="C110" s="24" t="s">
        <v>4</v>
      </c>
      <c r="D110" s="6" t="s">
        <v>3</v>
      </c>
      <c r="E110" s="60"/>
      <c r="F110" s="11">
        <f t="shared" si="0"/>
        <v>0</v>
      </c>
      <c r="G110" s="13"/>
    </row>
    <row r="111" spans="2:14" s="5" customFormat="1" thickTop="1" thickBot="1" x14ac:dyDescent="0.25">
      <c r="B111" s="6">
        <v>8</v>
      </c>
      <c r="C111" s="24" t="s">
        <v>55</v>
      </c>
      <c r="D111" s="6" t="s">
        <v>3</v>
      </c>
      <c r="E111" s="60"/>
      <c r="F111" s="11">
        <f t="shared" si="0"/>
        <v>0</v>
      </c>
      <c r="G111" s="13"/>
    </row>
    <row r="112" spans="2:14" s="5" customFormat="1" ht="27" thickTop="1" thickBot="1" x14ac:dyDescent="0.25">
      <c r="B112" s="6">
        <v>9</v>
      </c>
      <c r="C112" s="12" t="s">
        <v>94</v>
      </c>
      <c r="D112" s="6" t="s">
        <v>3</v>
      </c>
      <c r="E112" s="60"/>
      <c r="F112" s="11">
        <f t="shared" si="0"/>
        <v>0</v>
      </c>
      <c r="G112" s="13"/>
    </row>
    <row r="113" spans="2:14" s="5" customFormat="1" ht="27" thickTop="1" thickBot="1" x14ac:dyDescent="0.25">
      <c r="B113" s="6">
        <v>10</v>
      </c>
      <c r="C113" s="12" t="s">
        <v>95</v>
      </c>
      <c r="D113" s="6" t="s">
        <v>3</v>
      </c>
      <c r="E113" s="60"/>
      <c r="F113" s="11">
        <f t="shared" si="0"/>
        <v>0</v>
      </c>
      <c r="G113" s="13"/>
    </row>
    <row r="114" spans="2:14" s="5" customFormat="1" thickTop="1" thickBot="1" x14ac:dyDescent="0.25">
      <c r="B114" s="6">
        <v>11</v>
      </c>
      <c r="C114" s="24" t="s">
        <v>96</v>
      </c>
      <c r="D114" s="6" t="s">
        <v>3</v>
      </c>
      <c r="E114" s="60"/>
      <c r="F114" s="11">
        <f t="shared" si="0"/>
        <v>0</v>
      </c>
      <c r="G114" s="13"/>
    </row>
    <row r="115" spans="2:14" s="5" customFormat="1" thickTop="1" thickBot="1" x14ac:dyDescent="0.25">
      <c r="B115" s="6">
        <v>12</v>
      </c>
      <c r="C115" s="12" t="s">
        <v>98</v>
      </c>
      <c r="D115" s="6" t="s">
        <v>3</v>
      </c>
      <c r="E115" s="60"/>
      <c r="F115" s="11">
        <f t="shared" si="0"/>
        <v>0</v>
      </c>
      <c r="G115" s="13"/>
    </row>
    <row r="116" spans="2:14" s="5" customFormat="1" thickTop="1" thickBot="1" x14ac:dyDescent="0.25">
      <c r="B116" s="84" t="s">
        <v>80</v>
      </c>
      <c r="C116" s="84"/>
      <c r="D116" s="84"/>
      <c r="E116" s="36">
        <f>SUM(E104:E115)</f>
        <v>0</v>
      </c>
      <c r="F116" s="37">
        <f>SUM(F104:F115)</f>
        <v>0</v>
      </c>
      <c r="G116" s="13"/>
    </row>
    <row r="117" spans="2:14" s="5" customFormat="1" thickTop="1" thickBot="1" x14ac:dyDescent="0.25">
      <c r="C117" s="5" t="s">
        <v>72</v>
      </c>
    </row>
    <row r="118" spans="2:14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0"/>
      <c r="K118" s="70"/>
      <c r="L118" s="70"/>
      <c r="M118" s="70"/>
      <c r="N118" s="70"/>
    </row>
    <row r="119" spans="2:14" s="5" customFormat="1" thickTop="1" thickBot="1" x14ac:dyDescent="0.25">
      <c r="B119" s="6">
        <v>1</v>
      </c>
      <c r="C119" s="67"/>
      <c r="D119" s="68"/>
      <c r="E119" s="68"/>
      <c r="F119" s="68"/>
      <c r="G119" s="69"/>
      <c r="H119" s="7"/>
      <c r="I119" s="7"/>
      <c r="J119" s="70"/>
      <c r="K119" s="70"/>
      <c r="L119" s="70"/>
      <c r="M119" s="70"/>
      <c r="N119" s="70"/>
    </row>
    <row r="120" spans="2:14" s="5" customFormat="1" thickTop="1" thickBot="1" x14ac:dyDescent="0.25">
      <c r="B120" s="6">
        <v>2</v>
      </c>
      <c r="C120" s="67"/>
      <c r="D120" s="68"/>
      <c r="E120" s="68"/>
      <c r="F120" s="68"/>
      <c r="G120" s="69"/>
      <c r="H120" s="7"/>
      <c r="I120" s="7"/>
      <c r="J120" s="70"/>
      <c r="K120" s="70"/>
      <c r="L120" s="70"/>
      <c r="M120" s="70"/>
      <c r="N120" s="70"/>
    </row>
    <row r="121" spans="2:14" s="5" customFormat="1" thickTop="1" thickBot="1" x14ac:dyDescent="0.25">
      <c r="B121" s="6">
        <v>3</v>
      </c>
      <c r="C121" s="67"/>
      <c r="D121" s="68"/>
      <c r="E121" s="68"/>
      <c r="F121" s="68"/>
      <c r="G121" s="69"/>
      <c r="H121" s="7"/>
      <c r="I121" s="7"/>
      <c r="J121" s="70"/>
      <c r="K121" s="70"/>
      <c r="L121" s="70"/>
      <c r="M121" s="70"/>
      <c r="N121" s="70"/>
    </row>
    <row r="122" spans="2:14" s="5" customFormat="1" thickTop="1" thickBot="1" x14ac:dyDescent="0.25">
      <c r="B122" s="6">
        <v>4</v>
      </c>
      <c r="C122" s="67"/>
      <c r="D122" s="68"/>
      <c r="E122" s="68"/>
      <c r="F122" s="68"/>
      <c r="G122" s="69"/>
      <c r="H122" s="7"/>
      <c r="I122" s="7"/>
      <c r="J122" s="70"/>
      <c r="K122" s="70"/>
      <c r="L122" s="70"/>
      <c r="M122" s="70"/>
      <c r="N122" s="70"/>
    </row>
    <row r="123" spans="2:14" s="5" customFormat="1" thickTop="1" thickBot="1" x14ac:dyDescent="0.25">
      <c r="B123" s="6">
        <v>5</v>
      </c>
      <c r="C123" s="67"/>
      <c r="D123" s="68"/>
      <c r="E123" s="68"/>
      <c r="F123" s="68"/>
      <c r="G123" s="69"/>
      <c r="H123" s="7"/>
      <c r="I123" s="7"/>
      <c r="J123" s="70"/>
      <c r="K123" s="70"/>
      <c r="L123" s="70"/>
      <c r="M123" s="70"/>
      <c r="N123" s="70"/>
    </row>
    <row r="124" spans="2:14" s="5" customFormat="1" thickTop="1" thickBot="1" x14ac:dyDescent="0.25">
      <c r="B124" s="6">
        <v>6</v>
      </c>
      <c r="C124" s="67"/>
      <c r="D124" s="68"/>
      <c r="E124" s="68"/>
      <c r="F124" s="68"/>
      <c r="G124" s="69"/>
      <c r="H124" s="7"/>
      <c r="I124" s="7"/>
      <c r="J124" s="70"/>
      <c r="K124" s="70"/>
      <c r="L124" s="70"/>
      <c r="M124" s="70"/>
      <c r="N124" s="70"/>
    </row>
    <row r="125" spans="2:14" s="5" customFormat="1" thickTop="1" thickBot="1" x14ac:dyDescent="0.25">
      <c r="B125" s="6">
        <v>7</v>
      </c>
      <c r="C125" s="67"/>
      <c r="D125" s="68"/>
      <c r="E125" s="68"/>
      <c r="F125" s="68"/>
      <c r="G125" s="69"/>
      <c r="H125" s="7"/>
      <c r="I125" s="7"/>
      <c r="J125" s="70"/>
      <c r="K125" s="70"/>
      <c r="L125" s="70"/>
      <c r="M125" s="70"/>
      <c r="N125" s="70"/>
    </row>
    <row r="126" spans="2:14" s="5" customFormat="1" thickTop="1" thickBot="1" x14ac:dyDescent="0.25">
      <c r="B126" s="6">
        <v>8</v>
      </c>
      <c r="C126" s="67"/>
      <c r="D126" s="68"/>
      <c r="E126" s="68"/>
      <c r="F126" s="68"/>
      <c r="G126" s="69"/>
      <c r="H126" s="7"/>
      <c r="I126" s="7"/>
      <c r="J126" s="70"/>
      <c r="K126" s="70"/>
      <c r="L126" s="70"/>
      <c r="M126" s="70"/>
      <c r="N126" s="70"/>
    </row>
    <row r="127" spans="2:14" s="5" customFormat="1" ht="16.5" customHeight="1" thickTop="1" thickBot="1" x14ac:dyDescent="0.25">
      <c r="B127" s="6">
        <v>9</v>
      </c>
      <c r="C127" s="67"/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</row>
    <row r="128" spans="2:14" s="5" customFormat="1" ht="16.5" customHeight="1" thickTop="1" thickBot="1" x14ac:dyDescent="0.25">
      <c r="B128" s="6">
        <v>10</v>
      </c>
      <c r="C128" s="67"/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</row>
    <row r="129" spans="2:14" s="5" customFormat="1" ht="16.5" customHeight="1" thickTop="1" thickBot="1" x14ac:dyDescent="0.25">
      <c r="B129" s="6">
        <v>11</v>
      </c>
      <c r="C129" s="67"/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</row>
    <row r="130" spans="2:14" s="5" customFormat="1" ht="16.5" customHeight="1" thickTop="1" thickBot="1" x14ac:dyDescent="0.25">
      <c r="B130" s="6">
        <v>12</v>
      </c>
      <c r="C130" s="67"/>
      <c r="D130" s="68"/>
      <c r="E130" s="68"/>
      <c r="F130" s="68"/>
      <c r="G130" s="69"/>
      <c r="H130" s="7"/>
      <c r="I130" s="7"/>
      <c r="J130" s="70"/>
      <c r="K130" s="70"/>
      <c r="L130" s="70"/>
      <c r="M130" s="70"/>
      <c r="N130" s="70"/>
    </row>
    <row r="131" spans="2:14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</row>
    <row r="132" spans="2:14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</row>
    <row r="133" spans="2:14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2:14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4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4" s="5" customFormat="1" thickTop="1" thickBot="1" x14ac:dyDescent="0.25">
      <c r="B136" s="6">
        <v>1</v>
      </c>
      <c r="C136" s="6" t="s">
        <v>45</v>
      </c>
      <c r="D136" s="6" t="s">
        <v>3</v>
      </c>
      <c r="E136" s="60"/>
      <c r="F136" s="11">
        <f>E136/1000</f>
        <v>0</v>
      </c>
    </row>
    <row r="137" spans="2:14" s="5" customFormat="1" thickTop="1" thickBot="1" x14ac:dyDescent="0.25">
      <c r="B137" s="6">
        <v>2</v>
      </c>
      <c r="C137" s="6" t="s">
        <v>57</v>
      </c>
      <c r="D137" s="6" t="s">
        <v>3</v>
      </c>
      <c r="E137" s="60"/>
      <c r="F137" s="11">
        <f t="shared" ref="F137:F144" si="1">E137/1000</f>
        <v>0</v>
      </c>
    </row>
    <row r="138" spans="2:14" s="5" customFormat="1" thickTop="1" thickBot="1" x14ac:dyDescent="0.25">
      <c r="B138" s="6">
        <v>3</v>
      </c>
      <c r="C138" s="6" t="s">
        <v>58</v>
      </c>
      <c r="D138" s="6" t="s">
        <v>3</v>
      </c>
      <c r="E138" s="60"/>
      <c r="F138" s="11">
        <f t="shared" si="1"/>
        <v>0</v>
      </c>
    </row>
    <row r="139" spans="2:14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0"/>
      <c r="F139" s="11">
        <f t="shared" si="1"/>
        <v>0</v>
      </c>
    </row>
    <row r="140" spans="2:14" s="5" customFormat="1" thickTop="1" thickBot="1" x14ac:dyDescent="0.25">
      <c r="B140" s="6">
        <v>5</v>
      </c>
      <c r="C140" s="6" t="s">
        <v>59</v>
      </c>
      <c r="D140" s="6" t="s">
        <v>3</v>
      </c>
      <c r="E140" s="60"/>
      <c r="F140" s="11">
        <f t="shared" si="1"/>
        <v>0</v>
      </c>
    </row>
    <row r="141" spans="2:14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0"/>
      <c r="F141" s="11">
        <f t="shared" si="1"/>
        <v>0</v>
      </c>
    </row>
    <row r="142" spans="2:14" s="5" customFormat="1" thickTop="1" thickBot="1" x14ac:dyDescent="0.25">
      <c r="B142" s="6">
        <v>7</v>
      </c>
      <c r="C142" s="6" t="s">
        <v>6</v>
      </c>
      <c r="D142" s="6" t="s">
        <v>3</v>
      </c>
      <c r="E142" s="60"/>
      <c r="F142" s="11">
        <f t="shared" si="1"/>
        <v>0</v>
      </c>
    </row>
    <row r="143" spans="2:14" s="5" customFormat="1" thickTop="1" thickBot="1" x14ac:dyDescent="0.25">
      <c r="B143" s="6">
        <v>8</v>
      </c>
      <c r="C143" s="6" t="s">
        <v>60</v>
      </c>
      <c r="D143" s="6" t="s">
        <v>3</v>
      </c>
      <c r="E143" s="60"/>
      <c r="F143" s="11">
        <f t="shared" si="1"/>
        <v>0</v>
      </c>
    </row>
    <row r="144" spans="2:14" s="5" customFormat="1" thickTop="1" thickBot="1" x14ac:dyDescent="0.25">
      <c r="B144" s="6">
        <v>9</v>
      </c>
      <c r="C144" s="6" t="s">
        <v>7</v>
      </c>
      <c r="D144" s="6" t="s">
        <v>3</v>
      </c>
      <c r="E144" s="60"/>
      <c r="F144" s="11">
        <f t="shared" si="1"/>
        <v>0</v>
      </c>
    </row>
    <row r="145" spans="2:14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4" s="5" customFormat="1" thickTop="1" thickBot="1" x14ac:dyDescent="0.25"/>
    <row r="147" spans="2:14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0"/>
      <c r="K147" s="70"/>
      <c r="L147" s="70"/>
      <c r="M147" s="70"/>
      <c r="N147" s="70"/>
    </row>
    <row r="148" spans="2:14" s="5" customFormat="1" thickTop="1" thickBot="1" x14ac:dyDescent="0.25">
      <c r="B148" s="6">
        <v>1</v>
      </c>
      <c r="C148" s="67"/>
      <c r="D148" s="68"/>
      <c r="E148" s="68"/>
      <c r="F148" s="68"/>
      <c r="G148" s="68"/>
      <c r="H148" s="10"/>
      <c r="I148" s="7"/>
      <c r="J148" s="70"/>
      <c r="K148" s="70"/>
      <c r="L148" s="70"/>
      <c r="M148" s="70"/>
      <c r="N148" s="70"/>
    </row>
    <row r="149" spans="2:14" s="5" customFormat="1" thickTop="1" thickBot="1" x14ac:dyDescent="0.25">
      <c r="B149" s="6">
        <v>2</v>
      </c>
      <c r="C149" s="67"/>
      <c r="D149" s="68"/>
      <c r="E149" s="68"/>
      <c r="F149" s="68"/>
      <c r="G149" s="69"/>
      <c r="H149" s="7"/>
      <c r="I149" s="7"/>
      <c r="J149" s="70"/>
      <c r="K149" s="70"/>
      <c r="L149" s="70"/>
      <c r="M149" s="70"/>
      <c r="N149" s="70"/>
    </row>
    <row r="150" spans="2:14" s="5" customFormat="1" thickTop="1" thickBot="1" x14ac:dyDescent="0.25">
      <c r="B150" s="6">
        <v>3</v>
      </c>
      <c r="C150" s="67"/>
      <c r="D150" s="68"/>
      <c r="E150" s="68"/>
      <c r="F150" s="68"/>
      <c r="G150" s="69"/>
      <c r="H150" s="7"/>
      <c r="I150" s="7"/>
      <c r="J150" s="70"/>
      <c r="K150" s="70"/>
      <c r="L150" s="70"/>
      <c r="M150" s="70"/>
      <c r="N150" s="70"/>
    </row>
    <row r="151" spans="2:14" s="5" customFormat="1" thickTop="1" thickBot="1" x14ac:dyDescent="0.25">
      <c r="B151" s="6">
        <v>4</v>
      </c>
      <c r="C151" s="67"/>
      <c r="D151" s="68"/>
      <c r="E151" s="68"/>
      <c r="F151" s="68"/>
      <c r="G151" s="69"/>
      <c r="H151" s="7"/>
      <c r="I151" s="7"/>
      <c r="J151" s="70"/>
      <c r="K151" s="70"/>
      <c r="L151" s="70"/>
      <c r="M151" s="70"/>
      <c r="N151" s="70"/>
    </row>
    <row r="152" spans="2:14" s="5" customFormat="1" thickTop="1" thickBot="1" x14ac:dyDescent="0.25">
      <c r="B152" s="6">
        <v>5</v>
      </c>
      <c r="C152" s="67"/>
      <c r="D152" s="68"/>
      <c r="E152" s="68"/>
      <c r="F152" s="68"/>
      <c r="G152" s="69"/>
      <c r="H152" s="7"/>
      <c r="I152" s="7"/>
      <c r="J152" s="70"/>
      <c r="K152" s="70"/>
      <c r="L152" s="70"/>
      <c r="M152" s="70"/>
      <c r="N152" s="70"/>
    </row>
    <row r="153" spans="2:14" s="5" customFormat="1" thickTop="1" thickBot="1" x14ac:dyDescent="0.25">
      <c r="B153" s="6">
        <v>6</v>
      </c>
      <c r="C153" s="67"/>
      <c r="D153" s="68"/>
      <c r="E153" s="68"/>
      <c r="F153" s="68"/>
      <c r="G153" s="69"/>
      <c r="H153" s="7"/>
      <c r="I153" s="7"/>
      <c r="J153" s="70"/>
      <c r="K153" s="70"/>
      <c r="L153" s="70"/>
      <c r="M153" s="70"/>
      <c r="N153" s="70"/>
    </row>
    <row r="154" spans="2:14" s="5" customFormat="1" thickTop="1" thickBot="1" x14ac:dyDescent="0.25">
      <c r="B154" s="6">
        <v>7</v>
      </c>
      <c r="C154" s="67"/>
      <c r="D154" s="68"/>
      <c r="E154" s="68"/>
      <c r="F154" s="68"/>
      <c r="G154" s="69"/>
      <c r="H154" s="7"/>
      <c r="I154" s="7"/>
      <c r="J154" s="70"/>
      <c r="K154" s="70"/>
      <c r="L154" s="70"/>
      <c r="M154" s="70"/>
      <c r="N154" s="70"/>
    </row>
    <row r="155" spans="2:14" s="5" customFormat="1" thickTop="1" thickBot="1" x14ac:dyDescent="0.25">
      <c r="B155" s="6">
        <v>8</v>
      </c>
      <c r="C155" s="67"/>
      <c r="D155" s="68"/>
      <c r="E155" s="68"/>
      <c r="F155" s="68"/>
      <c r="G155" s="69"/>
      <c r="H155" s="7"/>
      <c r="I155" s="7"/>
      <c r="J155" s="70"/>
      <c r="K155" s="70"/>
      <c r="L155" s="70"/>
      <c r="M155" s="70"/>
      <c r="N155" s="70"/>
    </row>
    <row r="156" spans="2:14" s="5" customFormat="1" thickTop="1" thickBot="1" x14ac:dyDescent="0.25">
      <c r="B156" s="6">
        <v>9</v>
      </c>
      <c r="C156" s="67"/>
      <c r="D156" s="68"/>
      <c r="E156" s="68"/>
      <c r="F156" s="68"/>
      <c r="G156" s="69"/>
      <c r="H156" s="7"/>
      <c r="I156" s="7"/>
      <c r="J156" s="70"/>
      <c r="K156" s="70"/>
      <c r="L156" s="70"/>
      <c r="M156" s="70"/>
      <c r="N156" s="70"/>
    </row>
    <row r="157" spans="2:14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</row>
    <row r="158" spans="2:14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</row>
    <row r="159" spans="2:14" s="5" customFormat="1" ht="13.5" thickBot="1" x14ac:dyDescent="0.25"/>
    <row r="160" spans="2:14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4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4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0"/>
      <c r="F162" s="16"/>
    </row>
    <row r="163" spans="1:14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0"/>
      <c r="F163" s="16"/>
    </row>
    <row r="164" spans="1:14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4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0"/>
      <c r="F165" s="17">
        <f>E165/1000</f>
        <v>0</v>
      </c>
      <c r="G165" s="18"/>
    </row>
    <row r="166" spans="1:14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0"/>
      <c r="F166" s="17">
        <f t="shared" ref="F166:F167" si="2">E166/1000</f>
        <v>0</v>
      </c>
      <c r="G166" s="18"/>
    </row>
    <row r="167" spans="1:14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0"/>
      <c r="F167" s="17">
        <f t="shared" si="2"/>
        <v>0</v>
      </c>
      <c r="G167" s="18"/>
    </row>
    <row r="168" spans="1:14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4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4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0"/>
      <c r="K170" s="70"/>
      <c r="L170" s="70"/>
      <c r="M170" s="70"/>
      <c r="N170" s="70"/>
    </row>
    <row r="171" spans="1:14" s="5" customFormat="1" thickTop="1" thickBot="1" x14ac:dyDescent="0.25">
      <c r="B171" s="6">
        <v>1</v>
      </c>
      <c r="C171" s="67"/>
      <c r="D171" s="68"/>
      <c r="E171" s="68"/>
      <c r="F171" s="68"/>
      <c r="G171" s="69"/>
      <c r="H171" s="7"/>
      <c r="I171" s="7"/>
      <c r="J171" s="70"/>
      <c r="K171" s="70"/>
      <c r="L171" s="70"/>
      <c r="M171" s="70"/>
      <c r="N171" s="70"/>
    </row>
    <row r="172" spans="1:14" s="5" customFormat="1" thickTop="1" thickBot="1" x14ac:dyDescent="0.25">
      <c r="B172" s="6">
        <v>2</v>
      </c>
      <c r="C172" s="67"/>
      <c r="D172" s="68"/>
      <c r="E172" s="68"/>
      <c r="F172" s="68"/>
      <c r="G172" s="69"/>
      <c r="H172" s="7"/>
      <c r="I172" s="7"/>
      <c r="J172" s="70"/>
      <c r="K172" s="70"/>
      <c r="L172" s="70"/>
      <c r="M172" s="70"/>
      <c r="N172" s="70"/>
    </row>
    <row r="173" spans="1:14" s="5" customFormat="1" thickTop="1" thickBot="1" x14ac:dyDescent="0.25">
      <c r="B173" s="6">
        <v>3</v>
      </c>
      <c r="C173" s="67"/>
      <c r="D173" s="68"/>
      <c r="E173" s="68"/>
      <c r="F173" s="68"/>
      <c r="G173" s="69"/>
      <c r="H173" s="7"/>
      <c r="I173" s="7"/>
      <c r="J173" s="70"/>
      <c r="K173" s="70"/>
      <c r="L173" s="70"/>
      <c r="M173" s="70"/>
      <c r="N173" s="70"/>
    </row>
    <row r="174" spans="1:14" s="5" customFormat="1" thickTop="1" thickBot="1" x14ac:dyDescent="0.25">
      <c r="B174" s="6">
        <v>4</v>
      </c>
      <c r="C174" s="67"/>
      <c r="D174" s="68"/>
      <c r="E174" s="68"/>
      <c r="F174" s="68"/>
      <c r="G174" s="69"/>
      <c r="H174" s="7"/>
      <c r="I174" s="7"/>
      <c r="J174" s="70"/>
      <c r="K174" s="70"/>
      <c r="L174" s="70"/>
      <c r="M174" s="70"/>
      <c r="N174" s="70"/>
    </row>
    <row r="175" spans="1:14" s="5" customFormat="1" thickTop="1" thickBot="1" x14ac:dyDescent="0.25">
      <c r="B175" s="6">
        <v>5</v>
      </c>
      <c r="C175" s="67"/>
      <c r="D175" s="68"/>
      <c r="E175" s="68"/>
      <c r="F175" s="68"/>
      <c r="G175" s="69"/>
      <c r="H175" s="10"/>
      <c r="I175" s="7"/>
      <c r="J175" s="70"/>
      <c r="K175" s="70"/>
      <c r="L175" s="70"/>
      <c r="M175" s="70"/>
      <c r="N175" s="70"/>
    </row>
    <row r="176" spans="1:14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</row>
    <row r="177" spans="2:14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</row>
    <row r="178" spans="2:14" s="5" customFormat="1" ht="13.5" thickBot="1" x14ac:dyDescent="0.25"/>
    <row r="179" spans="2:14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4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83</v>
      </c>
      <c r="F180" s="46" t="s">
        <v>84</v>
      </c>
    </row>
    <row r="181" spans="2:14" s="5" customFormat="1" thickTop="1" thickBot="1" x14ac:dyDescent="0.25">
      <c r="B181" s="6">
        <v>1</v>
      </c>
      <c r="C181" s="6" t="s">
        <v>12</v>
      </c>
      <c r="D181" s="6" t="s">
        <v>3</v>
      </c>
      <c r="E181" s="60"/>
      <c r="F181" s="11">
        <f>E181/1000</f>
        <v>0</v>
      </c>
    </row>
    <row r="182" spans="2:14" s="5" customFormat="1" thickTop="1" thickBot="1" x14ac:dyDescent="0.25">
      <c r="B182" s="6">
        <v>2</v>
      </c>
      <c r="C182" s="6" t="s">
        <v>13</v>
      </c>
      <c r="D182" s="6" t="s">
        <v>3</v>
      </c>
      <c r="E182" s="60"/>
      <c r="F182" s="11">
        <f t="shared" ref="F182:F190" si="3">E182/1000</f>
        <v>0</v>
      </c>
    </row>
    <row r="183" spans="2:14" s="5" customFormat="1" thickTop="1" thickBot="1" x14ac:dyDescent="0.25">
      <c r="B183" s="6">
        <v>3</v>
      </c>
      <c r="C183" s="6" t="s">
        <v>17</v>
      </c>
      <c r="D183" s="6" t="s">
        <v>3</v>
      </c>
      <c r="E183" s="60"/>
      <c r="F183" s="11">
        <f t="shared" si="3"/>
        <v>0</v>
      </c>
    </row>
    <row r="184" spans="2:14" s="5" customFormat="1" thickTop="1" thickBot="1" x14ac:dyDescent="0.25">
      <c r="B184" s="6">
        <v>4</v>
      </c>
      <c r="C184" s="6" t="s">
        <v>16</v>
      </c>
      <c r="D184" s="6" t="s">
        <v>3</v>
      </c>
      <c r="E184" s="60"/>
      <c r="F184" s="11">
        <f t="shared" si="3"/>
        <v>0</v>
      </c>
    </row>
    <row r="185" spans="2:14" s="5" customFormat="1" thickTop="1" thickBot="1" x14ac:dyDescent="0.25">
      <c r="B185" s="6">
        <v>5</v>
      </c>
      <c r="C185" s="6" t="s">
        <v>14</v>
      </c>
      <c r="D185" s="6" t="s">
        <v>3</v>
      </c>
      <c r="E185" s="60"/>
      <c r="F185" s="11">
        <f t="shared" si="3"/>
        <v>0</v>
      </c>
    </row>
    <row r="186" spans="2:14" s="5" customFormat="1" thickTop="1" thickBot="1" x14ac:dyDescent="0.25">
      <c r="B186" s="6">
        <v>6</v>
      </c>
      <c r="C186" s="6" t="s">
        <v>15</v>
      </c>
      <c r="D186" s="6" t="s">
        <v>3</v>
      </c>
      <c r="E186" s="60"/>
      <c r="F186" s="11">
        <f t="shared" si="3"/>
        <v>0</v>
      </c>
    </row>
    <row r="187" spans="2:14" s="5" customFormat="1" thickTop="1" thickBot="1" x14ac:dyDescent="0.25">
      <c r="B187" s="6">
        <v>8</v>
      </c>
      <c r="C187" s="6" t="s">
        <v>116</v>
      </c>
      <c r="D187" s="6" t="s">
        <v>3</v>
      </c>
      <c r="E187" s="60"/>
      <c r="F187" s="11">
        <f t="shared" si="3"/>
        <v>0</v>
      </c>
    </row>
    <row r="188" spans="2:14" s="5" customFormat="1" thickTop="1" thickBot="1" x14ac:dyDescent="0.25">
      <c r="B188" s="6">
        <v>9</v>
      </c>
      <c r="C188" s="6" t="s">
        <v>115</v>
      </c>
      <c r="D188" s="6" t="s">
        <v>3</v>
      </c>
      <c r="E188" s="60"/>
      <c r="F188" s="11">
        <f t="shared" si="3"/>
        <v>0</v>
      </c>
    </row>
    <row r="189" spans="2:14" s="5" customFormat="1" thickTop="1" thickBot="1" x14ac:dyDescent="0.25">
      <c r="B189" s="6">
        <v>10</v>
      </c>
      <c r="C189" s="6" t="s">
        <v>114</v>
      </c>
      <c r="D189" s="6" t="s">
        <v>3</v>
      </c>
      <c r="E189" s="60"/>
      <c r="F189" s="11">
        <f t="shared" si="3"/>
        <v>0</v>
      </c>
    </row>
    <row r="190" spans="2:14" s="5" customFormat="1" thickTop="1" thickBot="1" x14ac:dyDescent="0.25">
      <c r="B190" s="6">
        <v>11</v>
      </c>
      <c r="C190" s="6" t="s">
        <v>61</v>
      </c>
      <c r="D190" s="6" t="s">
        <v>3</v>
      </c>
      <c r="E190" s="60"/>
      <c r="F190" s="11">
        <f t="shared" si="3"/>
        <v>0</v>
      </c>
    </row>
    <row r="191" spans="2:14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0</v>
      </c>
      <c r="F191" s="37">
        <f>SUM(F181:F190)</f>
        <v>0</v>
      </c>
    </row>
    <row r="192" spans="2:14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4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0"/>
      <c r="F193" s="22"/>
    </row>
    <row r="194" spans="2:14" s="5" customFormat="1" thickTop="1" thickBot="1" x14ac:dyDescent="0.25">
      <c r="B194" s="6">
        <v>13</v>
      </c>
      <c r="C194" s="6" t="s">
        <v>18</v>
      </c>
      <c r="D194" s="6" t="s">
        <v>42</v>
      </c>
      <c r="E194" s="60"/>
      <c r="F194" s="22"/>
    </row>
    <row r="195" spans="2:14" s="5" customFormat="1" thickTop="1" thickBot="1" x14ac:dyDescent="0.25"/>
    <row r="196" spans="2:14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0"/>
      <c r="K196" s="70"/>
      <c r="L196" s="70"/>
      <c r="M196" s="70"/>
      <c r="N196" s="70"/>
    </row>
    <row r="197" spans="2:14" s="5" customFormat="1" thickTop="1" thickBot="1" x14ac:dyDescent="0.25">
      <c r="B197" s="6">
        <v>1</v>
      </c>
      <c r="C197" s="67"/>
      <c r="D197" s="68"/>
      <c r="E197" s="68"/>
      <c r="F197" s="68"/>
      <c r="G197" s="69"/>
      <c r="H197" s="7"/>
      <c r="I197" s="7"/>
      <c r="J197" s="70"/>
      <c r="K197" s="70"/>
      <c r="L197" s="70"/>
      <c r="M197" s="70"/>
      <c r="N197" s="70"/>
    </row>
    <row r="198" spans="2:14" s="5" customFormat="1" thickTop="1" thickBot="1" x14ac:dyDescent="0.25">
      <c r="B198" s="6">
        <v>2</v>
      </c>
      <c r="C198" s="67"/>
      <c r="D198" s="68"/>
      <c r="E198" s="68"/>
      <c r="F198" s="68"/>
      <c r="G198" s="69"/>
      <c r="H198" s="7"/>
      <c r="I198" s="7"/>
      <c r="J198" s="70"/>
      <c r="K198" s="70"/>
      <c r="L198" s="70"/>
      <c r="M198" s="70"/>
      <c r="N198" s="70"/>
    </row>
    <row r="199" spans="2:14" s="5" customFormat="1" thickTop="1" thickBot="1" x14ac:dyDescent="0.25">
      <c r="B199" s="6">
        <v>3</v>
      </c>
      <c r="C199" s="67"/>
      <c r="D199" s="68"/>
      <c r="E199" s="68"/>
      <c r="F199" s="68"/>
      <c r="G199" s="69"/>
      <c r="H199" s="7"/>
      <c r="I199" s="7"/>
      <c r="J199" s="70"/>
      <c r="K199" s="70"/>
      <c r="L199" s="70"/>
      <c r="M199" s="70"/>
      <c r="N199" s="70"/>
    </row>
    <row r="200" spans="2:14" s="5" customFormat="1" thickTop="1" thickBot="1" x14ac:dyDescent="0.25">
      <c r="B200" s="6">
        <v>4</v>
      </c>
      <c r="C200" s="67"/>
      <c r="D200" s="68"/>
      <c r="E200" s="68"/>
      <c r="F200" s="68"/>
      <c r="G200" s="69"/>
      <c r="H200" s="7"/>
      <c r="I200" s="7"/>
      <c r="J200" s="70"/>
      <c r="K200" s="70"/>
      <c r="L200" s="70"/>
      <c r="M200" s="70"/>
      <c r="N200" s="70"/>
    </row>
    <row r="201" spans="2:14" s="5" customFormat="1" thickTop="1" thickBot="1" x14ac:dyDescent="0.25">
      <c r="B201" s="6">
        <v>5</v>
      </c>
      <c r="C201" s="67"/>
      <c r="D201" s="68"/>
      <c r="E201" s="68"/>
      <c r="F201" s="68"/>
      <c r="G201" s="69"/>
      <c r="H201" s="7"/>
      <c r="I201" s="7"/>
      <c r="J201" s="70"/>
      <c r="K201" s="70"/>
      <c r="L201" s="70"/>
      <c r="M201" s="70"/>
      <c r="N201" s="70"/>
    </row>
    <row r="202" spans="2:14" s="5" customFormat="1" ht="19.5" customHeight="1" thickTop="1" thickBot="1" x14ac:dyDescent="0.25">
      <c r="B202" s="6">
        <v>6</v>
      </c>
      <c r="C202" s="67"/>
      <c r="D202" s="68"/>
      <c r="E202" s="68"/>
      <c r="F202" s="68"/>
      <c r="G202" s="69"/>
      <c r="H202" s="7"/>
      <c r="I202" s="7"/>
      <c r="J202" s="70"/>
      <c r="K202" s="70"/>
      <c r="L202" s="70"/>
      <c r="M202" s="70"/>
      <c r="N202" s="70"/>
    </row>
    <row r="203" spans="2:14" s="5" customFormat="1" ht="19.5" customHeight="1" thickTop="1" thickBot="1" x14ac:dyDescent="0.25">
      <c r="B203" s="6">
        <v>7</v>
      </c>
      <c r="C203" s="67"/>
      <c r="D203" s="68"/>
      <c r="E203" s="68"/>
      <c r="F203" s="68"/>
      <c r="G203" s="69"/>
      <c r="H203" s="7"/>
      <c r="I203" s="7"/>
      <c r="J203" s="70"/>
      <c r="K203" s="70"/>
      <c r="L203" s="70"/>
      <c r="M203" s="70"/>
      <c r="N203" s="70"/>
    </row>
    <row r="204" spans="2:14" s="5" customFormat="1" ht="19.5" customHeight="1" thickTop="1" thickBot="1" x14ac:dyDescent="0.25">
      <c r="B204" s="6">
        <v>8</v>
      </c>
      <c r="C204" s="67"/>
      <c r="D204" s="68"/>
      <c r="E204" s="68"/>
      <c r="F204" s="68"/>
      <c r="G204" s="69"/>
      <c r="H204" s="7"/>
      <c r="I204" s="7"/>
      <c r="J204" s="70"/>
      <c r="K204" s="70"/>
      <c r="L204" s="70"/>
      <c r="M204" s="70"/>
      <c r="N204" s="70"/>
    </row>
    <row r="205" spans="2:14" s="5" customFormat="1" ht="19.5" customHeight="1" thickTop="1" thickBot="1" x14ac:dyDescent="0.25">
      <c r="B205" s="6">
        <v>9</v>
      </c>
      <c r="C205" s="67"/>
      <c r="D205" s="68"/>
      <c r="E205" s="68"/>
      <c r="F205" s="68"/>
      <c r="G205" s="69"/>
      <c r="H205" s="7"/>
      <c r="I205" s="7"/>
      <c r="J205" s="70"/>
      <c r="K205" s="70"/>
      <c r="L205" s="70"/>
      <c r="M205" s="70"/>
      <c r="N205" s="70"/>
    </row>
    <row r="206" spans="2:14" s="5" customFormat="1" ht="19.5" customHeight="1" thickTop="1" thickBot="1" x14ac:dyDescent="0.25">
      <c r="B206" s="6">
        <v>10</v>
      </c>
      <c r="C206" s="67"/>
      <c r="D206" s="68"/>
      <c r="E206" s="68"/>
      <c r="F206" s="68"/>
      <c r="G206" s="69"/>
      <c r="H206" s="7"/>
      <c r="I206" s="7"/>
      <c r="J206" s="70"/>
      <c r="K206" s="70"/>
      <c r="L206" s="70"/>
      <c r="M206" s="70"/>
      <c r="N206" s="70"/>
    </row>
    <row r="207" spans="2:14" s="5" customFormat="1" ht="19.5" customHeight="1" thickTop="1" thickBot="1" x14ac:dyDescent="0.25">
      <c r="B207" s="6">
        <v>11</v>
      </c>
      <c r="C207" s="67"/>
      <c r="D207" s="68"/>
      <c r="E207" s="68"/>
      <c r="F207" s="68"/>
      <c r="G207" s="69"/>
      <c r="H207" s="7"/>
      <c r="I207" s="7"/>
      <c r="J207" s="70"/>
      <c r="K207" s="70"/>
      <c r="L207" s="70"/>
      <c r="M207" s="70"/>
      <c r="N207" s="70"/>
    </row>
    <row r="208" spans="2:14" s="5" customFormat="1" ht="19.5" customHeight="1" thickTop="1" thickBot="1" x14ac:dyDescent="0.25">
      <c r="B208" s="6">
        <v>12</v>
      </c>
      <c r="C208" s="67"/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</row>
    <row r="209" spans="2:14" s="5" customFormat="1" ht="19.5" customHeight="1" thickTop="1" thickBot="1" x14ac:dyDescent="0.25">
      <c r="B209" s="6">
        <v>13</v>
      </c>
      <c r="C209" s="67"/>
      <c r="D209" s="68"/>
      <c r="E209" s="68"/>
      <c r="F209" s="68"/>
      <c r="G209" s="69"/>
      <c r="H209" s="7"/>
      <c r="I209" s="7"/>
      <c r="J209" s="70"/>
      <c r="K209" s="70"/>
      <c r="L209" s="70"/>
      <c r="M209" s="70"/>
      <c r="N209" s="70"/>
    </row>
    <row r="210" spans="2:14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2:14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2:14" s="5" customFormat="1" ht="13.5" thickBot="1" x14ac:dyDescent="0.25"/>
    <row r="213" spans="2:14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4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83</v>
      </c>
      <c r="F214" s="49" t="s">
        <v>84</v>
      </c>
      <c r="G214" s="4"/>
    </row>
    <row r="215" spans="2:14" s="5" customFormat="1" thickTop="1" thickBot="1" x14ac:dyDescent="0.25">
      <c r="B215" s="6">
        <v>1</v>
      </c>
      <c r="C215" s="6" t="s">
        <v>20</v>
      </c>
      <c r="D215" s="6" t="s">
        <v>62</v>
      </c>
      <c r="E215" s="60"/>
      <c r="F215" s="22"/>
    </row>
    <row r="216" spans="2:14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4" s="5" customFormat="1" thickTop="1" thickBot="1" x14ac:dyDescent="0.25">
      <c r="B217" s="6">
        <v>2</v>
      </c>
      <c r="C217" s="6" t="s">
        <v>19</v>
      </c>
      <c r="D217" s="6" t="s">
        <v>3</v>
      </c>
      <c r="E217" s="60"/>
      <c r="F217" s="11">
        <f t="shared" ref="F217:F223" si="4">E217/1000</f>
        <v>0</v>
      </c>
    </row>
    <row r="218" spans="2:14" s="5" customFormat="1" thickTop="1" thickBot="1" x14ac:dyDescent="0.25">
      <c r="B218" s="6">
        <v>3</v>
      </c>
      <c r="C218" s="6" t="s">
        <v>21</v>
      </c>
      <c r="D218" s="6" t="s">
        <v>3</v>
      </c>
      <c r="E218" s="60"/>
      <c r="F218" s="11">
        <f t="shared" si="4"/>
        <v>0</v>
      </c>
    </row>
    <row r="219" spans="2:14" s="5" customFormat="1" thickTop="1" thickBot="1" x14ac:dyDescent="0.25">
      <c r="B219" s="6">
        <v>4</v>
      </c>
      <c r="C219" s="6" t="s">
        <v>22</v>
      </c>
      <c r="D219" s="6" t="s">
        <v>3</v>
      </c>
      <c r="E219" s="60"/>
      <c r="F219" s="11">
        <f t="shared" si="4"/>
        <v>0</v>
      </c>
    </row>
    <row r="220" spans="2:14" s="5" customFormat="1" thickTop="1" thickBot="1" x14ac:dyDescent="0.25">
      <c r="B220" s="6">
        <v>5</v>
      </c>
      <c r="C220" s="6" t="s">
        <v>23</v>
      </c>
      <c r="D220" s="6" t="s">
        <v>3</v>
      </c>
      <c r="E220" s="60"/>
      <c r="F220" s="11">
        <f t="shared" si="4"/>
        <v>0</v>
      </c>
    </row>
    <row r="221" spans="2:14" s="5" customFormat="1" thickTop="1" thickBot="1" x14ac:dyDescent="0.25">
      <c r="B221" s="6">
        <v>6</v>
      </c>
      <c r="C221" s="6" t="s">
        <v>24</v>
      </c>
      <c r="D221" s="6" t="s">
        <v>3</v>
      </c>
      <c r="E221" s="60"/>
      <c r="F221" s="11">
        <f t="shared" si="4"/>
        <v>0</v>
      </c>
    </row>
    <row r="222" spans="2:14" s="5" customFormat="1" thickTop="1" thickBot="1" x14ac:dyDescent="0.25">
      <c r="B222" s="6">
        <v>7</v>
      </c>
      <c r="C222" s="6" t="s">
        <v>25</v>
      </c>
      <c r="D222" s="6" t="s">
        <v>3</v>
      </c>
      <c r="E222" s="60"/>
      <c r="F222" s="11">
        <f t="shared" si="4"/>
        <v>0</v>
      </c>
    </row>
    <row r="223" spans="2:14" s="5" customFormat="1" thickTop="1" thickBot="1" x14ac:dyDescent="0.25">
      <c r="B223" s="6">
        <v>8</v>
      </c>
      <c r="C223" s="6" t="s">
        <v>26</v>
      </c>
      <c r="D223" s="6" t="s">
        <v>3</v>
      </c>
      <c r="E223" s="60"/>
      <c r="F223" s="11">
        <f t="shared" si="4"/>
        <v>0</v>
      </c>
    </row>
    <row r="224" spans="2:14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0</v>
      </c>
      <c r="F224" s="43">
        <f>SUM(F217:F223)</f>
        <v>0</v>
      </c>
      <c r="G224" s="4"/>
    </row>
    <row r="225" spans="2:14" s="5" customFormat="1" thickTop="1" thickBot="1" x14ac:dyDescent="0.25">
      <c r="F225" s="23"/>
    </row>
    <row r="226" spans="2:14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0"/>
      <c r="K226" s="70"/>
      <c r="L226" s="70"/>
      <c r="M226" s="70"/>
      <c r="N226" s="70"/>
    </row>
    <row r="227" spans="2:14" s="5" customFormat="1" thickTop="1" thickBot="1" x14ac:dyDescent="0.25">
      <c r="B227" s="6">
        <v>1</v>
      </c>
      <c r="C227" s="67"/>
      <c r="D227" s="68"/>
      <c r="E227" s="68"/>
      <c r="F227" s="68"/>
      <c r="G227" s="69"/>
      <c r="H227" s="7"/>
      <c r="I227" s="7"/>
      <c r="J227" s="70"/>
      <c r="K227" s="70"/>
      <c r="L227" s="70"/>
      <c r="M227" s="70"/>
      <c r="N227" s="70"/>
    </row>
    <row r="228" spans="2:14" s="5" customFormat="1" thickTop="1" thickBot="1" x14ac:dyDescent="0.25">
      <c r="B228" s="6">
        <v>2</v>
      </c>
      <c r="C228" s="67"/>
      <c r="D228" s="68"/>
      <c r="E228" s="68"/>
      <c r="F228" s="68"/>
      <c r="G228" s="69"/>
      <c r="H228" s="7"/>
      <c r="I228" s="7"/>
      <c r="J228" s="70"/>
      <c r="K228" s="70"/>
      <c r="L228" s="70"/>
      <c r="M228" s="70"/>
      <c r="N228" s="70"/>
    </row>
    <row r="229" spans="2:14" s="5" customFormat="1" thickTop="1" thickBot="1" x14ac:dyDescent="0.25">
      <c r="B229" s="6">
        <v>3</v>
      </c>
      <c r="C229" s="67"/>
      <c r="D229" s="68"/>
      <c r="E229" s="68"/>
      <c r="F229" s="68"/>
      <c r="G229" s="69"/>
      <c r="H229" s="7"/>
      <c r="I229" s="7"/>
      <c r="J229" s="70"/>
      <c r="K229" s="70"/>
      <c r="L229" s="70"/>
      <c r="M229" s="70"/>
      <c r="N229" s="70"/>
    </row>
    <row r="230" spans="2:14" s="5" customFormat="1" thickTop="1" thickBot="1" x14ac:dyDescent="0.25">
      <c r="B230" s="6">
        <v>4</v>
      </c>
      <c r="C230" s="67"/>
      <c r="D230" s="68"/>
      <c r="E230" s="68"/>
      <c r="F230" s="68"/>
      <c r="G230" s="69"/>
      <c r="H230" s="7"/>
      <c r="I230" s="7"/>
      <c r="J230" s="70"/>
      <c r="K230" s="70"/>
      <c r="L230" s="70"/>
      <c r="M230" s="70"/>
      <c r="N230" s="70"/>
    </row>
    <row r="231" spans="2:14" s="5" customFormat="1" thickTop="1" thickBot="1" x14ac:dyDescent="0.25">
      <c r="B231" s="6">
        <v>5</v>
      </c>
      <c r="C231" s="67"/>
      <c r="D231" s="68"/>
      <c r="E231" s="68"/>
      <c r="F231" s="68"/>
      <c r="G231" s="69"/>
      <c r="H231" s="7"/>
      <c r="I231" s="7"/>
      <c r="J231" s="70"/>
      <c r="K231" s="70"/>
      <c r="L231" s="70"/>
      <c r="M231" s="70"/>
      <c r="N231" s="70"/>
    </row>
    <row r="232" spans="2:14" s="5" customFormat="1" thickTop="1" thickBot="1" x14ac:dyDescent="0.25">
      <c r="B232" s="6">
        <v>6</v>
      </c>
      <c r="C232" s="67"/>
      <c r="D232" s="68"/>
      <c r="E232" s="68"/>
      <c r="F232" s="68"/>
      <c r="G232" s="69"/>
      <c r="H232" s="7"/>
      <c r="I232" s="7"/>
      <c r="J232" s="70"/>
      <c r="K232" s="70"/>
      <c r="L232" s="70"/>
      <c r="M232" s="70"/>
      <c r="N232" s="70"/>
    </row>
    <row r="233" spans="2:14" s="5" customFormat="1" thickTop="1" thickBot="1" x14ac:dyDescent="0.25">
      <c r="B233" s="6">
        <v>7</v>
      </c>
      <c r="C233" s="67"/>
      <c r="D233" s="68"/>
      <c r="E233" s="68"/>
      <c r="F233" s="68"/>
      <c r="G233" s="69"/>
      <c r="H233" s="7"/>
      <c r="I233" s="7"/>
      <c r="J233" s="70"/>
      <c r="K233" s="70"/>
      <c r="L233" s="70"/>
      <c r="M233" s="70"/>
      <c r="N233" s="70"/>
    </row>
    <row r="234" spans="2:14" s="5" customFormat="1" thickTop="1" thickBot="1" x14ac:dyDescent="0.25">
      <c r="B234" s="6">
        <v>8</v>
      </c>
      <c r="C234" s="67"/>
      <c r="D234" s="68"/>
      <c r="E234" s="68"/>
      <c r="F234" s="68"/>
      <c r="G234" s="69"/>
      <c r="H234" s="7"/>
      <c r="I234" s="7"/>
      <c r="J234" s="70"/>
      <c r="K234" s="70"/>
      <c r="L234" s="70"/>
      <c r="M234" s="70"/>
      <c r="N234" s="70"/>
    </row>
    <row r="235" spans="2:14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2:14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2:14" s="5" customFormat="1" ht="13.5" thickBot="1" x14ac:dyDescent="0.25"/>
    <row r="238" spans="2:14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4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4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0"/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0"/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0"/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0"/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0"/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0"/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0"/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0"/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0"/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0"/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0"/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0"/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0"/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0"/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0"/>
    </row>
    <row r="257" spans="2:14" s="5" customFormat="1" thickTop="1" thickBot="1" x14ac:dyDescent="0.25">
      <c r="B257" s="6">
        <v>16</v>
      </c>
      <c r="C257" s="9" t="s">
        <v>111</v>
      </c>
      <c r="D257" s="6" t="s">
        <v>28</v>
      </c>
      <c r="E257" s="60"/>
    </row>
    <row r="258" spans="2:14" s="5" customFormat="1" thickTop="1" thickBot="1" x14ac:dyDescent="0.25">
      <c r="B258" s="6">
        <v>17</v>
      </c>
      <c r="C258" s="9" t="s">
        <v>112</v>
      </c>
      <c r="D258" s="6" t="s">
        <v>28</v>
      </c>
      <c r="E258" s="60"/>
    </row>
    <row r="259" spans="2:14" s="5" customFormat="1" thickTop="1" thickBot="1" x14ac:dyDescent="0.25">
      <c r="B259" s="6">
        <v>18</v>
      </c>
      <c r="C259" s="6" t="s">
        <v>51</v>
      </c>
      <c r="D259" s="6" t="s">
        <v>28</v>
      </c>
      <c r="E259" s="60"/>
    </row>
    <row r="260" spans="2:14" s="5" customFormat="1" thickTop="1" thickBot="1" x14ac:dyDescent="0.25">
      <c r="B260" s="6">
        <v>19</v>
      </c>
      <c r="C260" s="6" t="s">
        <v>36</v>
      </c>
      <c r="D260" s="6" t="s">
        <v>28</v>
      </c>
      <c r="E260" s="60"/>
    </row>
    <row r="261" spans="2:14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0"/>
    </row>
    <row r="262" spans="2:14" s="5" customFormat="1" thickTop="1" thickBot="1" x14ac:dyDescent="0.25">
      <c r="B262" s="6">
        <v>21</v>
      </c>
      <c r="C262" s="6" t="s">
        <v>52</v>
      </c>
      <c r="D262" s="6" t="s">
        <v>28</v>
      </c>
      <c r="E262" s="60"/>
    </row>
    <row r="263" spans="2:14" s="5" customFormat="1" thickTop="1" thickBot="1" x14ac:dyDescent="0.25">
      <c r="B263" s="6">
        <v>22</v>
      </c>
      <c r="C263" s="6" t="s">
        <v>37</v>
      </c>
      <c r="D263" s="6" t="s">
        <v>28</v>
      </c>
      <c r="E263" s="60"/>
    </row>
    <row r="264" spans="2:14" s="5" customFormat="1" thickTop="1" thickBot="1" x14ac:dyDescent="0.25">
      <c r="B264" s="6">
        <v>23</v>
      </c>
      <c r="C264" s="6" t="s">
        <v>106</v>
      </c>
      <c r="D264" s="6" t="s">
        <v>28</v>
      </c>
      <c r="E264" s="60"/>
    </row>
    <row r="265" spans="2:14" s="5" customFormat="1" thickTop="1" thickBot="1" x14ac:dyDescent="0.25">
      <c r="B265" s="6">
        <v>24</v>
      </c>
      <c r="C265" s="6" t="s">
        <v>107</v>
      </c>
      <c r="D265" s="6" t="s">
        <v>28</v>
      </c>
      <c r="E265" s="60"/>
    </row>
    <row r="266" spans="2:14" s="5" customFormat="1" thickTop="1" thickBot="1" x14ac:dyDescent="0.25">
      <c r="B266" s="6">
        <v>25</v>
      </c>
      <c r="C266" s="6" t="s">
        <v>108</v>
      </c>
      <c r="D266" s="6" t="s">
        <v>28</v>
      </c>
      <c r="E266" s="60"/>
    </row>
    <row r="267" spans="2:14" s="5" customFormat="1" thickTop="1" thickBot="1" x14ac:dyDescent="0.25">
      <c r="B267" s="6">
        <v>26</v>
      </c>
      <c r="C267" s="6" t="s">
        <v>110</v>
      </c>
      <c r="D267" s="6" t="s">
        <v>28</v>
      </c>
      <c r="E267" s="60"/>
    </row>
    <row r="268" spans="2:14" s="5" customFormat="1" thickTop="1" thickBot="1" x14ac:dyDescent="0.25">
      <c r="B268" s="6">
        <v>27</v>
      </c>
      <c r="C268" s="6" t="s">
        <v>127</v>
      </c>
      <c r="D268" s="6" t="s">
        <v>28</v>
      </c>
      <c r="E268" s="60"/>
    </row>
    <row r="269" spans="2:14" s="5" customFormat="1" thickTop="1" thickBot="1" x14ac:dyDescent="0.25">
      <c r="B269" s="6">
        <v>28</v>
      </c>
      <c r="C269" s="6" t="s">
        <v>109</v>
      </c>
      <c r="D269" s="6" t="s">
        <v>28</v>
      </c>
      <c r="E269" s="60"/>
    </row>
    <row r="270" spans="2:14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4" s="5" customFormat="1" thickTop="1" thickBot="1" x14ac:dyDescent="0.25"/>
    <row r="272" spans="2:14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0"/>
      <c r="K272" s="70"/>
      <c r="L272" s="70"/>
      <c r="M272" s="70"/>
      <c r="N272" s="70"/>
    </row>
    <row r="273" spans="2:14" s="5" customFormat="1" thickTop="1" thickBot="1" x14ac:dyDescent="0.25">
      <c r="B273" s="6">
        <v>1</v>
      </c>
      <c r="C273" s="67"/>
      <c r="D273" s="68"/>
      <c r="E273" s="68"/>
      <c r="F273" s="68"/>
      <c r="G273" s="69"/>
      <c r="H273" s="7"/>
      <c r="I273" s="7"/>
      <c r="J273" s="70"/>
      <c r="K273" s="70"/>
      <c r="L273" s="70"/>
      <c r="M273" s="70"/>
      <c r="N273" s="70"/>
    </row>
    <row r="274" spans="2:14" s="5" customFormat="1" thickTop="1" thickBot="1" x14ac:dyDescent="0.25">
      <c r="B274" s="6">
        <v>2</v>
      </c>
      <c r="C274" s="67"/>
      <c r="D274" s="68"/>
      <c r="E274" s="68"/>
      <c r="F274" s="68"/>
      <c r="G274" s="69"/>
      <c r="H274" s="7"/>
      <c r="I274" s="7"/>
      <c r="J274" s="70"/>
      <c r="K274" s="70"/>
      <c r="L274" s="70"/>
      <c r="M274" s="70"/>
      <c r="N274" s="70"/>
    </row>
    <row r="275" spans="2:14" s="5" customFormat="1" thickTop="1" thickBot="1" x14ac:dyDescent="0.25">
      <c r="B275" s="6">
        <v>3</v>
      </c>
      <c r="C275" s="67"/>
      <c r="D275" s="68"/>
      <c r="E275" s="68"/>
      <c r="F275" s="68"/>
      <c r="G275" s="69"/>
      <c r="H275" s="7"/>
      <c r="I275" s="7"/>
      <c r="J275" s="70"/>
      <c r="K275" s="70"/>
      <c r="L275" s="70"/>
      <c r="M275" s="70"/>
      <c r="N275" s="70"/>
    </row>
    <row r="276" spans="2:14" s="5" customFormat="1" thickTop="1" thickBot="1" x14ac:dyDescent="0.25">
      <c r="B276" s="6">
        <v>4</v>
      </c>
      <c r="C276" s="67"/>
      <c r="D276" s="68"/>
      <c r="E276" s="68"/>
      <c r="F276" s="68"/>
      <c r="G276" s="69"/>
      <c r="H276" s="7"/>
      <c r="I276" s="7"/>
      <c r="J276" s="70"/>
      <c r="K276" s="70"/>
      <c r="L276" s="70"/>
      <c r="M276" s="70"/>
      <c r="N276" s="70"/>
    </row>
    <row r="277" spans="2:14" s="5" customFormat="1" thickTop="1" thickBot="1" x14ac:dyDescent="0.25">
      <c r="B277" s="6">
        <v>5</v>
      </c>
      <c r="C277" s="67"/>
      <c r="D277" s="68"/>
      <c r="E277" s="68"/>
      <c r="F277" s="68"/>
      <c r="G277" s="69"/>
      <c r="H277" s="7"/>
      <c r="I277" s="7"/>
      <c r="J277" s="70"/>
      <c r="K277" s="70"/>
      <c r="L277" s="70"/>
      <c r="M277" s="70"/>
      <c r="N277" s="70"/>
    </row>
    <row r="278" spans="2:14" s="5" customFormat="1" thickTop="1" thickBot="1" x14ac:dyDescent="0.25">
      <c r="B278" s="6">
        <v>6</v>
      </c>
      <c r="C278" s="67"/>
      <c r="D278" s="68"/>
      <c r="E278" s="68"/>
      <c r="F278" s="68"/>
      <c r="G278" s="69"/>
      <c r="H278" s="7"/>
      <c r="I278" s="7"/>
      <c r="J278" s="70"/>
      <c r="K278" s="70"/>
      <c r="L278" s="70"/>
      <c r="M278" s="70"/>
      <c r="N278" s="70"/>
    </row>
    <row r="279" spans="2:14" s="5" customFormat="1" thickTop="1" thickBot="1" x14ac:dyDescent="0.25">
      <c r="B279" s="6">
        <v>7</v>
      </c>
      <c r="C279" s="67"/>
      <c r="D279" s="68"/>
      <c r="E279" s="68"/>
      <c r="F279" s="68"/>
      <c r="G279" s="69"/>
      <c r="H279" s="7"/>
      <c r="I279" s="7"/>
      <c r="J279" s="70"/>
      <c r="K279" s="70"/>
      <c r="L279" s="70"/>
      <c r="M279" s="70"/>
      <c r="N279" s="70"/>
    </row>
    <row r="280" spans="2:14" s="5" customFormat="1" thickTop="1" thickBot="1" x14ac:dyDescent="0.25">
      <c r="B280" s="6">
        <v>8</v>
      </c>
      <c r="C280" s="67"/>
      <c r="D280" s="68"/>
      <c r="E280" s="68"/>
      <c r="F280" s="68"/>
      <c r="G280" s="69"/>
      <c r="H280" s="7"/>
      <c r="I280" s="7"/>
      <c r="J280" s="70"/>
      <c r="K280" s="70"/>
      <c r="L280" s="70"/>
      <c r="M280" s="70"/>
      <c r="N280" s="70"/>
    </row>
    <row r="281" spans="2:14" s="5" customFormat="1" thickTop="1" thickBot="1" x14ac:dyDescent="0.25">
      <c r="B281" s="6">
        <v>9</v>
      </c>
      <c r="C281" s="67"/>
      <c r="D281" s="68"/>
      <c r="E281" s="68"/>
      <c r="F281" s="68"/>
      <c r="G281" s="69"/>
      <c r="H281" s="7"/>
      <c r="I281" s="7"/>
      <c r="J281" s="70"/>
      <c r="K281" s="70"/>
      <c r="L281" s="70"/>
      <c r="M281" s="70"/>
      <c r="N281" s="70"/>
    </row>
    <row r="282" spans="2:14" s="5" customFormat="1" thickTop="1" thickBot="1" x14ac:dyDescent="0.25">
      <c r="B282" s="6">
        <v>10</v>
      </c>
      <c r="C282" s="67"/>
      <c r="D282" s="68"/>
      <c r="E282" s="68"/>
      <c r="F282" s="68"/>
      <c r="G282" s="69"/>
      <c r="H282" s="7"/>
      <c r="I282" s="7"/>
      <c r="J282" s="70"/>
      <c r="K282" s="70"/>
      <c r="L282" s="70"/>
      <c r="M282" s="70"/>
      <c r="N282" s="70"/>
    </row>
    <row r="283" spans="2:14" s="5" customFormat="1" thickTop="1" thickBot="1" x14ac:dyDescent="0.25">
      <c r="B283" s="6">
        <v>11</v>
      </c>
      <c r="C283" s="67"/>
      <c r="D283" s="68"/>
      <c r="E283" s="68"/>
      <c r="F283" s="68"/>
      <c r="G283" s="69"/>
      <c r="H283" s="7"/>
      <c r="I283" s="7"/>
      <c r="J283" s="70"/>
      <c r="K283" s="70"/>
      <c r="L283" s="70"/>
      <c r="M283" s="70"/>
      <c r="N283" s="70"/>
    </row>
    <row r="284" spans="2:14" s="5" customFormat="1" thickTop="1" thickBot="1" x14ac:dyDescent="0.25">
      <c r="B284" s="6">
        <v>12</v>
      </c>
      <c r="C284" s="67"/>
      <c r="D284" s="68"/>
      <c r="E284" s="68"/>
      <c r="F284" s="68"/>
      <c r="G284" s="69"/>
      <c r="H284" s="7"/>
      <c r="I284" s="7"/>
      <c r="J284" s="70"/>
      <c r="K284" s="70"/>
      <c r="L284" s="70"/>
      <c r="M284" s="70"/>
      <c r="N284" s="70"/>
    </row>
    <row r="285" spans="2:14" s="5" customFormat="1" thickTop="1" thickBot="1" x14ac:dyDescent="0.25">
      <c r="B285" s="6">
        <v>13</v>
      </c>
      <c r="C285" s="67"/>
      <c r="D285" s="68"/>
      <c r="E285" s="68"/>
      <c r="F285" s="68"/>
      <c r="G285" s="69"/>
      <c r="H285" s="7"/>
      <c r="I285" s="7"/>
      <c r="J285" s="70"/>
      <c r="K285" s="70"/>
      <c r="L285" s="70"/>
      <c r="M285" s="70"/>
      <c r="N285" s="70"/>
    </row>
    <row r="286" spans="2:14" s="5" customFormat="1" thickTop="1" thickBot="1" x14ac:dyDescent="0.25">
      <c r="B286" s="6">
        <v>14</v>
      </c>
      <c r="C286" s="67"/>
      <c r="D286" s="68"/>
      <c r="E286" s="68"/>
      <c r="F286" s="68"/>
      <c r="G286" s="69"/>
      <c r="H286" s="7"/>
      <c r="I286" s="7"/>
      <c r="J286" s="70"/>
      <c r="K286" s="70"/>
      <c r="L286" s="70"/>
      <c r="M286" s="70"/>
      <c r="N286" s="70"/>
    </row>
    <row r="287" spans="2:14" s="5" customFormat="1" thickTop="1" thickBot="1" x14ac:dyDescent="0.25">
      <c r="B287" s="6">
        <v>15</v>
      </c>
      <c r="C287" s="67"/>
      <c r="D287" s="68"/>
      <c r="E287" s="68"/>
      <c r="F287" s="68"/>
      <c r="G287" s="69"/>
      <c r="H287" s="7"/>
      <c r="I287" s="7"/>
      <c r="J287" s="70"/>
      <c r="K287" s="70"/>
      <c r="L287" s="70"/>
      <c r="M287" s="70"/>
      <c r="N287" s="70"/>
    </row>
    <row r="288" spans="2:14" s="5" customFormat="1" thickTop="1" thickBot="1" x14ac:dyDescent="0.25">
      <c r="B288" s="6">
        <v>16</v>
      </c>
      <c r="C288" s="67"/>
      <c r="D288" s="68"/>
      <c r="E288" s="68"/>
      <c r="F288" s="68"/>
      <c r="G288" s="69"/>
      <c r="H288" s="7"/>
      <c r="I288" s="7"/>
      <c r="J288" s="70"/>
      <c r="K288" s="70"/>
      <c r="L288" s="70"/>
      <c r="M288" s="70"/>
      <c r="N288" s="70"/>
    </row>
    <row r="289" spans="2:14" s="5" customFormat="1" thickTop="1" thickBot="1" x14ac:dyDescent="0.25">
      <c r="B289" s="6">
        <v>17</v>
      </c>
      <c r="C289" s="67"/>
      <c r="D289" s="68"/>
      <c r="E289" s="68"/>
      <c r="F289" s="68"/>
      <c r="G289" s="69"/>
      <c r="H289" s="7"/>
      <c r="I289" s="7"/>
      <c r="J289" s="70"/>
      <c r="K289" s="70"/>
      <c r="L289" s="70"/>
      <c r="M289" s="70"/>
      <c r="N289" s="70"/>
    </row>
    <row r="290" spans="2:14" s="5" customFormat="1" thickTop="1" thickBot="1" x14ac:dyDescent="0.25">
      <c r="B290" s="6">
        <v>18</v>
      </c>
      <c r="C290" s="67"/>
      <c r="D290" s="68"/>
      <c r="E290" s="68"/>
      <c r="F290" s="68"/>
      <c r="G290" s="69"/>
      <c r="H290" s="7"/>
      <c r="I290" s="7"/>
      <c r="J290" s="70"/>
      <c r="K290" s="70"/>
      <c r="L290" s="70"/>
      <c r="M290" s="70"/>
      <c r="N290" s="70"/>
    </row>
    <row r="291" spans="2:14" s="5" customFormat="1" thickTop="1" thickBot="1" x14ac:dyDescent="0.25">
      <c r="B291" s="6">
        <v>19</v>
      </c>
      <c r="C291" s="67"/>
      <c r="D291" s="68"/>
      <c r="E291" s="68"/>
      <c r="F291" s="68"/>
      <c r="G291" s="69"/>
      <c r="H291" s="7"/>
      <c r="I291" s="7"/>
      <c r="J291" s="70"/>
      <c r="K291" s="70"/>
      <c r="L291" s="70"/>
      <c r="M291" s="70"/>
      <c r="N291" s="70"/>
    </row>
    <row r="292" spans="2:14" s="5" customFormat="1" thickTop="1" thickBot="1" x14ac:dyDescent="0.25">
      <c r="B292" s="6">
        <v>20</v>
      </c>
      <c r="C292" s="67"/>
      <c r="D292" s="68"/>
      <c r="E292" s="68"/>
      <c r="F292" s="68"/>
      <c r="G292" s="69"/>
      <c r="H292" s="7"/>
      <c r="I292" s="7"/>
      <c r="J292" s="70"/>
      <c r="K292" s="70"/>
      <c r="L292" s="70"/>
      <c r="M292" s="70"/>
      <c r="N292" s="70"/>
    </row>
    <row r="293" spans="2:14" s="5" customFormat="1" thickTop="1" thickBot="1" x14ac:dyDescent="0.25">
      <c r="B293" s="6">
        <v>21</v>
      </c>
      <c r="C293" s="67"/>
      <c r="D293" s="68"/>
      <c r="E293" s="68"/>
      <c r="F293" s="68"/>
      <c r="G293" s="69"/>
      <c r="H293" s="7"/>
      <c r="I293" s="7"/>
      <c r="J293" s="70"/>
      <c r="K293" s="70"/>
      <c r="L293" s="70"/>
      <c r="M293" s="70"/>
      <c r="N293" s="70"/>
    </row>
    <row r="294" spans="2:14" s="5" customFormat="1" thickTop="1" thickBot="1" x14ac:dyDescent="0.25">
      <c r="B294" s="6">
        <v>22</v>
      </c>
      <c r="C294" s="67"/>
      <c r="D294" s="68"/>
      <c r="E294" s="68"/>
      <c r="F294" s="68"/>
      <c r="G294" s="69"/>
      <c r="H294" s="7"/>
      <c r="I294" s="7"/>
      <c r="J294" s="70"/>
      <c r="K294" s="70"/>
      <c r="L294" s="70"/>
      <c r="M294" s="70"/>
      <c r="N294" s="70"/>
    </row>
    <row r="295" spans="2:14" s="5" customFormat="1" thickTop="1" thickBot="1" x14ac:dyDescent="0.25">
      <c r="B295" s="6">
        <v>23</v>
      </c>
      <c r="C295" s="67"/>
      <c r="D295" s="68"/>
      <c r="E295" s="68"/>
      <c r="F295" s="68"/>
      <c r="G295" s="69"/>
      <c r="H295" s="7"/>
      <c r="I295" s="7"/>
      <c r="J295" s="70"/>
      <c r="K295" s="70"/>
      <c r="L295" s="70"/>
      <c r="M295" s="70"/>
      <c r="N295" s="70"/>
    </row>
    <row r="296" spans="2:14" s="5" customFormat="1" ht="13.5" customHeight="1" thickTop="1" thickBot="1" x14ac:dyDescent="0.25">
      <c r="B296" s="6">
        <v>24</v>
      </c>
      <c r="C296" s="67"/>
      <c r="D296" s="68"/>
      <c r="E296" s="68"/>
      <c r="F296" s="68"/>
      <c r="G296" s="69"/>
      <c r="H296" s="7"/>
      <c r="I296" s="7"/>
      <c r="J296" s="70"/>
      <c r="K296" s="70"/>
      <c r="L296" s="70"/>
      <c r="M296" s="70"/>
      <c r="N296" s="70"/>
    </row>
    <row r="297" spans="2:14" s="5" customFormat="1" thickTop="1" thickBot="1" x14ac:dyDescent="0.25">
      <c r="B297" s="6">
        <v>25</v>
      </c>
      <c r="C297" s="67"/>
      <c r="D297" s="68"/>
      <c r="E297" s="68"/>
      <c r="F297" s="68"/>
      <c r="G297" s="69"/>
      <c r="H297" s="7"/>
      <c r="I297" s="7"/>
      <c r="J297" s="70"/>
      <c r="K297" s="70"/>
      <c r="L297" s="70"/>
      <c r="M297" s="70"/>
      <c r="N297" s="70"/>
    </row>
    <row r="298" spans="2:14" s="5" customFormat="1" thickTop="1" thickBot="1" x14ac:dyDescent="0.25">
      <c r="B298" s="6">
        <v>26</v>
      </c>
      <c r="C298" s="67"/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</row>
    <row r="299" spans="2:14" s="5" customFormat="1" thickTop="1" thickBot="1" x14ac:dyDescent="0.25">
      <c r="B299" s="6">
        <v>27</v>
      </c>
      <c r="C299" s="67"/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</row>
    <row r="300" spans="2:14" s="5" customFormat="1" thickTop="1" thickBot="1" x14ac:dyDescent="0.25">
      <c r="B300" s="30">
        <v>28</v>
      </c>
      <c r="C300" s="67"/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</row>
    <row r="301" spans="2:14" s="5" customFormat="1" ht="13.5" thickTop="1" x14ac:dyDescent="0.2">
      <c r="B301" s="3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2:14" s="5" customFormat="1" ht="12.75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2:14" s="5" customFormat="1" ht="13.5" thickBot="1" x14ac:dyDescent="0.25">
      <c r="B303" s="31"/>
    </row>
    <row r="304" spans="2:14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92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0"/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0"/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0"/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0"/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0"/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0"/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0"/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0"/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0"/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0"/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0"/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0"/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0"/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0"/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0"/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0"/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0"/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0"/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0"/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0"/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0"/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0"/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0"/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0"/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0"/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0"/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29"/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29"/>
      <c r="F335" s="22"/>
    </row>
    <row r="336" spans="2:6" s="5" customFormat="1" thickTop="1" thickBot="1" x14ac:dyDescent="0.25"/>
    <row r="337" spans="2:14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0"/>
      <c r="K337" s="70"/>
      <c r="L337" s="70"/>
      <c r="M337" s="70"/>
      <c r="N337" s="70"/>
    </row>
    <row r="338" spans="2:14" s="5" customFormat="1" thickTop="1" thickBot="1" x14ac:dyDescent="0.25">
      <c r="B338" s="6">
        <v>1</v>
      </c>
      <c r="C338" s="67"/>
      <c r="D338" s="68"/>
      <c r="E338" s="68"/>
      <c r="F338" s="68"/>
      <c r="G338" s="69"/>
      <c r="H338" s="10"/>
      <c r="I338" s="7"/>
      <c r="J338" s="70"/>
      <c r="K338" s="70"/>
      <c r="L338" s="70"/>
      <c r="M338" s="70"/>
      <c r="N338" s="70"/>
    </row>
    <row r="339" spans="2:14" s="5" customFormat="1" thickTop="1" thickBot="1" x14ac:dyDescent="0.25">
      <c r="B339" s="6">
        <v>2</v>
      </c>
      <c r="C339" s="67"/>
      <c r="D339" s="68"/>
      <c r="E339" s="68"/>
      <c r="F339" s="68"/>
      <c r="G339" s="69"/>
      <c r="H339" s="10"/>
      <c r="I339" s="7"/>
      <c r="J339" s="70"/>
      <c r="K339" s="70"/>
      <c r="L339" s="70"/>
      <c r="M339" s="70"/>
      <c r="N339" s="70"/>
    </row>
    <row r="340" spans="2:14" s="5" customFormat="1" thickTop="1" thickBot="1" x14ac:dyDescent="0.25">
      <c r="B340" s="6">
        <v>3</v>
      </c>
      <c r="C340" s="67"/>
      <c r="D340" s="68"/>
      <c r="E340" s="68"/>
      <c r="F340" s="68"/>
      <c r="G340" s="69"/>
      <c r="H340" s="7"/>
      <c r="I340" s="7"/>
      <c r="J340" s="70"/>
      <c r="K340" s="70"/>
      <c r="L340" s="70"/>
      <c r="M340" s="70"/>
      <c r="N340" s="70"/>
    </row>
    <row r="341" spans="2:14" s="5" customFormat="1" thickTop="1" thickBot="1" x14ac:dyDescent="0.25">
      <c r="B341" s="6">
        <v>4</v>
      </c>
      <c r="C341" s="67"/>
      <c r="D341" s="68"/>
      <c r="E341" s="68"/>
      <c r="F341" s="68"/>
      <c r="G341" s="69"/>
      <c r="H341" s="7"/>
      <c r="I341" s="7"/>
      <c r="J341" s="70"/>
      <c r="K341" s="70"/>
      <c r="L341" s="70"/>
      <c r="M341" s="70"/>
      <c r="N341" s="70"/>
    </row>
    <row r="342" spans="2:14" s="5" customFormat="1" thickTop="1" thickBot="1" x14ac:dyDescent="0.25">
      <c r="B342" s="6">
        <v>5</v>
      </c>
      <c r="C342" s="67"/>
      <c r="D342" s="68"/>
      <c r="E342" s="68"/>
      <c r="F342" s="68"/>
      <c r="G342" s="69"/>
      <c r="H342" s="7"/>
      <c r="I342" s="7"/>
      <c r="J342" s="70"/>
      <c r="K342" s="70"/>
      <c r="L342" s="70"/>
      <c r="M342" s="70"/>
      <c r="N342" s="70"/>
    </row>
    <row r="343" spans="2:14" s="5" customFormat="1" thickTop="1" thickBot="1" x14ac:dyDescent="0.25">
      <c r="B343" s="6">
        <v>6</v>
      </c>
      <c r="C343" s="67"/>
      <c r="D343" s="68"/>
      <c r="E343" s="68"/>
      <c r="F343" s="68"/>
      <c r="G343" s="69"/>
      <c r="H343" s="7"/>
      <c r="I343" s="7"/>
      <c r="J343" s="70"/>
      <c r="K343" s="70"/>
      <c r="L343" s="70"/>
      <c r="M343" s="70"/>
      <c r="N343" s="70"/>
    </row>
    <row r="344" spans="2:14" s="5" customFormat="1" thickTop="1" thickBot="1" x14ac:dyDescent="0.25">
      <c r="B344" s="6">
        <v>7</v>
      </c>
      <c r="C344" s="67"/>
      <c r="D344" s="68"/>
      <c r="E344" s="68"/>
      <c r="F344" s="68"/>
      <c r="G344" s="69"/>
      <c r="H344" s="7"/>
      <c r="I344" s="7"/>
      <c r="J344" s="70"/>
      <c r="K344" s="70"/>
      <c r="L344" s="70"/>
      <c r="M344" s="70"/>
      <c r="N344" s="70"/>
    </row>
    <row r="345" spans="2:14" s="5" customFormat="1" thickTop="1" thickBot="1" x14ac:dyDescent="0.25">
      <c r="B345" s="6">
        <v>8</v>
      </c>
      <c r="C345" s="67"/>
      <c r="D345" s="68"/>
      <c r="E345" s="68"/>
      <c r="F345" s="68"/>
      <c r="G345" s="69"/>
      <c r="H345" s="7"/>
      <c r="I345" s="7"/>
      <c r="J345" s="70"/>
      <c r="K345" s="70"/>
      <c r="L345" s="70"/>
      <c r="M345" s="70"/>
      <c r="N345" s="70"/>
    </row>
    <row r="346" spans="2:14" s="5" customFormat="1" thickTop="1" thickBot="1" x14ac:dyDescent="0.25">
      <c r="B346" s="6">
        <v>9</v>
      </c>
      <c r="C346" s="67"/>
      <c r="D346" s="68"/>
      <c r="E346" s="68"/>
      <c r="F346" s="68"/>
      <c r="G346" s="69"/>
      <c r="H346" s="7"/>
      <c r="I346" s="7"/>
      <c r="J346" s="70"/>
      <c r="K346" s="70"/>
      <c r="L346" s="70"/>
      <c r="M346" s="70"/>
      <c r="N346" s="70"/>
    </row>
    <row r="347" spans="2:14" s="5" customFormat="1" thickTop="1" thickBot="1" x14ac:dyDescent="0.25">
      <c r="B347" s="6">
        <v>10</v>
      </c>
      <c r="C347" s="67"/>
      <c r="D347" s="68"/>
      <c r="E347" s="68"/>
      <c r="F347" s="68"/>
      <c r="G347" s="69"/>
      <c r="H347" s="7"/>
      <c r="I347" s="7"/>
      <c r="J347" s="70"/>
      <c r="K347" s="70"/>
      <c r="L347" s="70"/>
      <c r="M347" s="70"/>
      <c r="N347" s="70"/>
    </row>
    <row r="348" spans="2:14" s="5" customFormat="1" thickTop="1" thickBot="1" x14ac:dyDescent="0.25">
      <c r="B348" s="6">
        <v>11</v>
      </c>
      <c r="C348" s="67"/>
      <c r="D348" s="68"/>
      <c r="E348" s="68"/>
      <c r="F348" s="68"/>
      <c r="G348" s="69"/>
      <c r="H348" s="7"/>
      <c r="I348" s="7"/>
      <c r="J348" s="70"/>
      <c r="K348" s="70"/>
      <c r="L348" s="70"/>
      <c r="M348" s="70"/>
      <c r="N348" s="70"/>
    </row>
    <row r="349" spans="2:14" s="5" customFormat="1" thickTop="1" thickBot="1" x14ac:dyDescent="0.25">
      <c r="B349" s="6">
        <v>12</v>
      </c>
      <c r="C349" s="67"/>
      <c r="D349" s="68"/>
      <c r="E349" s="68"/>
      <c r="F349" s="68"/>
      <c r="G349" s="69"/>
      <c r="H349" s="7"/>
      <c r="I349" s="7"/>
      <c r="J349" s="70"/>
      <c r="K349" s="70"/>
      <c r="L349" s="70"/>
      <c r="M349" s="70"/>
      <c r="N349" s="70"/>
    </row>
    <row r="350" spans="2:14" s="5" customFormat="1" thickTop="1" thickBot="1" x14ac:dyDescent="0.25">
      <c r="B350" s="6">
        <v>13</v>
      </c>
      <c r="C350" s="67"/>
      <c r="D350" s="68"/>
      <c r="E350" s="68"/>
      <c r="F350" s="68"/>
      <c r="G350" s="69"/>
      <c r="H350" s="7"/>
      <c r="I350" s="7"/>
      <c r="J350" s="70"/>
      <c r="K350" s="70"/>
      <c r="L350" s="70"/>
      <c r="M350" s="70"/>
      <c r="N350" s="70"/>
    </row>
    <row r="351" spans="2:14" s="5" customFormat="1" thickTop="1" thickBot="1" x14ac:dyDescent="0.25">
      <c r="B351" s="6">
        <v>14</v>
      </c>
      <c r="C351" s="67"/>
      <c r="D351" s="68"/>
      <c r="E351" s="68"/>
      <c r="F351" s="68"/>
      <c r="G351" s="69"/>
      <c r="H351" s="7"/>
      <c r="I351" s="7"/>
      <c r="J351" s="70"/>
      <c r="K351" s="70"/>
      <c r="L351" s="70"/>
      <c r="M351" s="70"/>
      <c r="N351" s="70"/>
    </row>
    <row r="352" spans="2:14" s="5" customFormat="1" thickTop="1" thickBot="1" x14ac:dyDescent="0.25">
      <c r="B352" s="6">
        <v>15</v>
      </c>
      <c r="C352" s="67"/>
      <c r="D352" s="68"/>
      <c r="E352" s="68"/>
      <c r="F352" s="68"/>
      <c r="G352" s="69"/>
      <c r="H352" s="7"/>
      <c r="I352" s="7"/>
      <c r="J352" s="70"/>
      <c r="K352" s="70"/>
      <c r="L352" s="70"/>
      <c r="M352" s="70"/>
      <c r="N352" s="70"/>
    </row>
    <row r="353" spans="2:15" s="5" customFormat="1" thickTop="1" thickBot="1" x14ac:dyDescent="0.25">
      <c r="B353" s="6">
        <v>16</v>
      </c>
      <c r="C353" s="67"/>
      <c r="D353" s="68"/>
      <c r="E353" s="68"/>
      <c r="F353" s="68"/>
      <c r="G353" s="69"/>
      <c r="H353" s="7"/>
      <c r="I353" s="7"/>
      <c r="J353" s="70"/>
      <c r="K353" s="70"/>
      <c r="L353" s="70"/>
      <c r="M353" s="70"/>
      <c r="N353" s="70"/>
    </row>
    <row r="354" spans="2:15" s="5" customFormat="1" thickTop="1" thickBot="1" x14ac:dyDescent="0.25">
      <c r="B354" s="6">
        <v>17</v>
      </c>
      <c r="C354" s="67"/>
      <c r="D354" s="68"/>
      <c r="E354" s="68"/>
      <c r="F354" s="68"/>
      <c r="G354" s="69"/>
      <c r="H354" s="7"/>
      <c r="I354" s="7"/>
      <c r="J354" s="70"/>
      <c r="K354" s="70"/>
      <c r="L354" s="70"/>
      <c r="M354" s="70"/>
      <c r="N354" s="70"/>
    </row>
    <row r="355" spans="2:15" s="5" customFormat="1" thickTop="1" thickBot="1" x14ac:dyDescent="0.25">
      <c r="B355" s="6">
        <v>18</v>
      </c>
      <c r="C355" s="67"/>
      <c r="D355" s="68"/>
      <c r="E355" s="68"/>
      <c r="F355" s="68"/>
      <c r="G355" s="69"/>
      <c r="H355" s="7"/>
      <c r="I355" s="7"/>
      <c r="J355" s="70"/>
      <c r="K355" s="70"/>
      <c r="L355" s="70"/>
      <c r="M355" s="70"/>
      <c r="N355" s="70"/>
      <c r="O355" s="25"/>
    </row>
    <row r="356" spans="2:15" s="5" customFormat="1" thickTop="1" thickBot="1" x14ac:dyDescent="0.25">
      <c r="B356" s="6">
        <v>19</v>
      </c>
      <c r="C356" s="67"/>
      <c r="D356" s="68"/>
      <c r="E356" s="68"/>
      <c r="F356" s="68"/>
      <c r="G356" s="69"/>
      <c r="H356" s="7"/>
      <c r="I356" s="7"/>
      <c r="J356" s="70"/>
      <c r="K356" s="70"/>
      <c r="L356" s="70"/>
      <c r="M356" s="70"/>
      <c r="N356" s="70"/>
      <c r="O356" s="25"/>
    </row>
    <row r="357" spans="2:15" s="5" customFormat="1" thickTop="1" thickBot="1" x14ac:dyDescent="0.25">
      <c r="B357" s="6">
        <v>20</v>
      </c>
      <c r="C357" s="67"/>
      <c r="D357" s="68"/>
      <c r="E357" s="68"/>
      <c r="F357" s="68"/>
      <c r="G357" s="69"/>
      <c r="H357" s="7"/>
      <c r="I357" s="7"/>
      <c r="J357" s="70"/>
      <c r="K357" s="70"/>
      <c r="L357" s="70"/>
      <c r="M357" s="70"/>
      <c r="N357" s="70"/>
      <c r="O357" s="25"/>
    </row>
    <row r="358" spans="2:15" s="5" customFormat="1" thickTop="1" thickBot="1" x14ac:dyDescent="0.25">
      <c r="B358" s="6">
        <v>21</v>
      </c>
      <c r="C358" s="67"/>
      <c r="D358" s="68"/>
      <c r="E358" s="68"/>
      <c r="F358" s="68"/>
      <c r="G358" s="69"/>
      <c r="H358" s="7"/>
      <c r="I358" s="7"/>
      <c r="J358" s="70"/>
      <c r="K358" s="70"/>
      <c r="L358" s="70"/>
      <c r="M358" s="70"/>
      <c r="N358" s="70"/>
      <c r="O358" s="25"/>
    </row>
    <row r="359" spans="2:15" s="5" customFormat="1" thickTop="1" thickBot="1" x14ac:dyDescent="0.25">
      <c r="B359" s="6">
        <v>22</v>
      </c>
      <c r="C359" s="67"/>
      <c r="D359" s="68"/>
      <c r="E359" s="68"/>
      <c r="F359" s="68"/>
      <c r="G359" s="69"/>
      <c r="H359" s="7"/>
      <c r="I359" s="7"/>
      <c r="J359" s="70"/>
      <c r="K359" s="70"/>
      <c r="L359" s="70"/>
      <c r="M359" s="70"/>
      <c r="N359" s="70"/>
      <c r="O359" s="25"/>
    </row>
    <row r="360" spans="2:15" s="5" customFormat="1" thickTop="1" thickBot="1" x14ac:dyDescent="0.25">
      <c r="B360" s="6">
        <v>23</v>
      </c>
      <c r="C360" s="67"/>
      <c r="D360" s="68"/>
      <c r="E360" s="68"/>
      <c r="F360" s="68"/>
      <c r="G360" s="69"/>
      <c r="H360" s="7"/>
      <c r="I360" s="7"/>
      <c r="J360" s="70"/>
      <c r="K360" s="70"/>
      <c r="L360" s="70"/>
      <c r="M360" s="70"/>
      <c r="N360" s="70"/>
      <c r="O360" s="25"/>
    </row>
    <row r="361" spans="2:15" s="5" customFormat="1" thickTop="1" thickBot="1" x14ac:dyDescent="0.25">
      <c r="B361" s="6">
        <v>24</v>
      </c>
      <c r="C361" s="67"/>
      <c r="D361" s="68"/>
      <c r="E361" s="68"/>
      <c r="F361" s="68"/>
      <c r="G361" s="69"/>
      <c r="H361" s="7"/>
      <c r="I361" s="7"/>
      <c r="J361" s="70"/>
      <c r="K361" s="70"/>
      <c r="L361" s="70"/>
      <c r="M361" s="70"/>
      <c r="N361" s="70"/>
    </row>
    <row r="362" spans="2:15" s="5" customFormat="1" thickTop="1" thickBot="1" x14ac:dyDescent="0.25">
      <c r="B362" s="6">
        <v>25</v>
      </c>
      <c r="C362" s="67"/>
      <c r="D362" s="68"/>
      <c r="E362" s="68"/>
      <c r="F362" s="68"/>
      <c r="G362" s="69"/>
      <c r="H362" s="7"/>
      <c r="I362" s="7"/>
      <c r="J362" s="70"/>
      <c r="K362" s="70"/>
      <c r="L362" s="70"/>
      <c r="M362" s="70"/>
      <c r="N362" s="70"/>
    </row>
    <row r="363" spans="2:15" s="5" customFormat="1" thickTop="1" thickBot="1" x14ac:dyDescent="0.25">
      <c r="B363" s="6">
        <v>26</v>
      </c>
      <c r="C363" s="67"/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</row>
    <row r="364" spans="2:15" s="5" customFormat="1" thickTop="1" thickBot="1" x14ac:dyDescent="0.25">
      <c r="B364" s="6">
        <v>27</v>
      </c>
      <c r="C364" s="67"/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</row>
    <row r="365" spans="2:15" s="5" customFormat="1" thickTop="1" thickBot="1" x14ac:dyDescent="0.25">
      <c r="B365" s="6">
        <v>28</v>
      </c>
      <c r="C365" s="67"/>
      <c r="D365" s="68"/>
      <c r="E365" s="68"/>
      <c r="F365" s="68"/>
      <c r="G365" s="69"/>
      <c r="H365" s="7"/>
      <c r="I365" s="7"/>
      <c r="J365" s="70"/>
      <c r="K365" s="70"/>
      <c r="L365" s="70"/>
      <c r="M365" s="70"/>
      <c r="N365" s="70"/>
    </row>
    <row r="366" spans="2:15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</row>
    <row r="367" spans="2:15" s="5" customFormat="1" ht="12.75" x14ac:dyDescent="0.2"/>
    <row r="368" spans="2:15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123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0"/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0"/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0"/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0"/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0"/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0"/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0"/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0"/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0"/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0"/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0"/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0"/>
      <c r="F384" s="22"/>
    </row>
    <row r="385" spans="2:14" s="5" customFormat="1" thickTop="1" thickBot="1" x14ac:dyDescent="0.25">
      <c r="B385" s="26">
        <v>12</v>
      </c>
      <c r="C385" s="6" t="s">
        <v>18</v>
      </c>
      <c r="D385" s="6" t="s">
        <v>42</v>
      </c>
      <c r="E385" s="60"/>
      <c r="F385" s="22"/>
    </row>
    <row r="386" spans="2:14" s="5" customFormat="1" thickTop="1" thickBot="1" x14ac:dyDescent="0.25">
      <c r="B386" s="8"/>
      <c r="C386" s="7"/>
      <c r="D386" s="7"/>
      <c r="E386" s="7"/>
      <c r="F386" s="13"/>
    </row>
    <row r="387" spans="2:14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</row>
    <row r="388" spans="2:14" s="5" customFormat="1" ht="17.25" customHeight="1" thickTop="1" thickBot="1" x14ac:dyDescent="0.25">
      <c r="B388" s="6">
        <v>1</v>
      </c>
      <c r="C388" s="67"/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</row>
    <row r="389" spans="2:14" s="5" customFormat="1" ht="17.25" customHeight="1" thickTop="1" thickBot="1" x14ac:dyDescent="0.25">
      <c r="B389" s="6">
        <v>2</v>
      </c>
      <c r="C389" s="67"/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</row>
    <row r="390" spans="2:14" s="5" customFormat="1" ht="17.25" customHeight="1" thickTop="1" thickBot="1" x14ac:dyDescent="0.25">
      <c r="B390" s="6">
        <v>3</v>
      </c>
      <c r="C390" s="67"/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</row>
    <row r="391" spans="2:14" s="5" customFormat="1" ht="17.25" customHeight="1" thickTop="1" thickBot="1" x14ac:dyDescent="0.25">
      <c r="B391" s="6">
        <v>4</v>
      </c>
      <c r="C391" s="67"/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</row>
    <row r="392" spans="2:14" s="5" customFormat="1" ht="17.25" customHeight="1" thickTop="1" thickBot="1" x14ac:dyDescent="0.25">
      <c r="B392" s="6">
        <v>5</v>
      </c>
      <c r="C392" s="67"/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</row>
    <row r="393" spans="2:14" s="5" customFormat="1" ht="17.25" customHeight="1" thickTop="1" thickBot="1" x14ac:dyDescent="0.25">
      <c r="B393" s="6">
        <v>6</v>
      </c>
      <c r="C393" s="67"/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</row>
    <row r="394" spans="2:14" s="5" customFormat="1" ht="17.25" customHeight="1" thickTop="1" thickBot="1" x14ac:dyDescent="0.25">
      <c r="B394" s="6">
        <v>7</v>
      </c>
      <c r="C394" s="67"/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</row>
    <row r="395" spans="2:14" s="5" customFormat="1" ht="17.25" customHeight="1" thickTop="1" thickBot="1" x14ac:dyDescent="0.25">
      <c r="B395" s="6">
        <v>8</v>
      </c>
      <c r="C395" s="67"/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</row>
    <row r="396" spans="2:14" s="5" customFormat="1" ht="17.25" customHeight="1" thickTop="1" thickBot="1" x14ac:dyDescent="0.25">
      <c r="B396" s="6">
        <v>9</v>
      </c>
      <c r="C396" s="67"/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</row>
    <row r="397" spans="2:14" s="5" customFormat="1" ht="17.25" customHeight="1" thickTop="1" thickBot="1" x14ac:dyDescent="0.25">
      <c r="B397" s="6">
        <v>10</v>
      </c>
      <c r="C397" s="67"/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</row>
    <row r="398" spans="2:14" s="5" customFormat="1" ht="17.25" customHeight="1" thickTop="1" thickBot="1" x14ac:dyDescent="0.25">
      <c r="B398" s="6">
        <v>11</v>
      </c>
      <c r="C398" s="67"/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</row>
    <row r="399" spans="2:14" s="5" customFormat="1" ht="17.25" customHeight="1" thickTop="1" thickBot="1" x14ac:dyDescent="0.25">
      <c r="B399" s="6">
        <v>12</v>
      </c>
      <c r="C399" s="67"/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</row>
    <row r="400" spans="2:14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</row>
    <row r="401" spans="2:14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</row>
    <row r="402" spans="2:14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</row>
    <row r="403" spans="2:14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4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123</v>
      </c>
      <c r="F404" s="49" t="s">
        <v>84</v>
      </c>
      <c r="G404" s="4"/>
    </row>
    <row r="405" spans="2:14" s="5" customFormat="1" thickTop="1" thickBot="1" x14ac:dyDescent="0.25">
      <c r="B405" s="6">
        <v>1</v>
      </c>
      <c r="C405" s="6" t="s">
        <v>20</v>
      </c>
      <c r="D405" s="6" t="s">
        <v>62</v>
      </c>
      <c r="E405" s="60"/>
      <c r="F405" s="22"/>
    </row>
    <row r="406" spans="2:14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4" s="5" customFormat="1" thickTop="1" thickBot="1" x14ac:dyDescent="0.25">
      <c r="B407" s="6">
        <v>2</v>
      </c>
      <c r="C407" s="6" t="s">
        <v>19</v>
      </c>
      <c r="D407" s="6" t="s">
        <v>3</v>
      </c>
      <c r="E407" s="60"/>
      <c r="F407" s="11">
        <f t="shared" ref="F407:F413" si="7">E407/1000</f>
        <v>0</v>
      </c>
    </row>
    <row r="408" spans="2:14" s="5" customFormat="1" thickTop="1" thickBot="1" x14ac:dyDescent="0.25">
      <c r="B408" s="6">
        <v>3</v>
      </c>
      <c r="C408" s="6" t="s">
        <v>21</v>
      </c>
      <c r="D408" s="6" t="s">
        <v>3</v>
      </c>
      <c r="E408" s="60"/>
      <c r="F408" s="11">
        <f t="shared" si="7"/>
        <v>0</v>
      </c>
    </row>
    <row r="409" spans="2:14" s="5" customFormat="1" thickTop="1" thickBot="1" x14ac:dyDescent="0.25">
      <c r="B409" s="6">
        <v>4</v>
      </c>
      <c r="C409" s="6" t="s">
        <v>22</v>
      </c>
      <c r="D409" s="6" t="s">
        <v>3</v>
      </c>
      <c r="E409" s="60"/>
      <c r="F409" s="11">
        <f t="shared" si="7"/>
        <v>0</v>
      </c>
    </row>
    <row r="410" spans="2:14" s="5" customFormat="1" thickTop="1" thickBot="1" x14ac:dyDescent="0.25">
      <c r="B410" s="6">
        <v>5</v>
      </c>
      <c r="C410" s="6" t="s">
        <v>23</v>
      </c>
      <c r="D410" s="6" t="s">
        <v>3</v>
      </c>
      <c r="E410" s="60"/>
      <c r="F410" s="11">
        <f t="shared" si="7"/>
        <v>0</v>
      </c>
    </row>
    <row r="411" spans="2:14" s="5" customFormat="1" thickTop="1" thickBot="1" x14ac:dyDescent="0.25">
      <c r="B411" s="6">
        <v>6</v>
      </c>
      <c r="C411" s="6" t="s">
        <v>24</v>
      </c>
      <c r="D411" s="6" t="s">
        <v>3</v>
      </c>
      <c r="E411" s="60"/>
      <c r="F411" s="11">
        <f t="shared" si="7"/>
        <v>0</v>
      </c>
    </row>
    <row r="412" spans="2:14" s="5" customFormat="1" thickTop="1" thickBot="1" x14ac:dyDescent="0.25">
      <c r="B412" s="6">
        <v>7</v>
      </c>
      <c r="C412" s="6" t="s">
        <v>25</v>
      </c>
      <c r="D412" s="6" t="s">
        <v>3</v>
      </c>
      <c r="E412" s="60"/>
      <c r="F412" s="11">
        <f t="shared" si="7"/>
        <v>0</v>
      </c>
    </row>
    <row r="413" spans="2:14" s="5" customFormat="1" thickTop="1" thickBot="1" x14ac:dyDescent="0.25">
      <c r="B413" s="6">
        <v>8</v>
      </c>
      <c r="C413" s="6" t="s">
        <v>26</v>
      </c>
      <c r="D413" s="6" t="s">
        <v>3</v>
      </c>
      <c r="E413" s="60"/>
      <c r="F413" s="11">
        <f t="shared" si="7"/>
        <v>0</v>
      </c>
    </row>
    <row r="414" spans="2:14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4" s="5" customFormat="1" thickTop="1" thickBot="1" x14ac:dyDescent="0.25">
      <c r="F415" s="23"/>
    </row>
    <row r="416" spans="2:14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0"/>
      <c r="K416" s="70"/>
      <c r="L416" s="70"/>
      <c r="M416" s="70"/>
      <c r="N416" s="70"/>
    </row>
    <row r="417" spans="2:14" s="5" customFormat="1" thickTop="1" thickBot="1" x14ac:dyDescent="0.25">
      <c r="B417" s="6">
        <v>1</v>
      </c>
      <c r="C417" s="67"/>
      <c r="D417" s="68"/>
      <c r="E417" s="68"/>
      <c r="F417" s="68"/>
      <c r="G417" s="69"/>
      <c r="H417" s="7"/>
      <c r="I417" s="7"/>
      <c r="J417" s="70"/>
      <c r="K417" s="70"/>
      <c r="L417" s="70"/>
      <c r="M417" s="70"/>
      <c r="N417" s="70"/>
    </row>
    <row r="418" spans="2:14" s="5" customFormat="1" thickTop="1" thickBot="1" x14ac:dyDescent="0.25">
      <c r="B418" s="6">
        <v>2</v>
      </c>
      <c r="C418" s="67"/>
      <c r="D418" s="68"/>
      <c r="E418" s="68"/>
      <c r="F418" s="68"/>
      <c r="G418" s="69"/>
      <c r="H418" s="7"/>
      <c r="I418" s="7"/>
      <c r="J418" s="70"/>
      <c r="K418" s="70"/>
      <c r="L418" s="70"/>
      <c r="M418" s="70"/>
      <c r="N418" s="70"/>
    </row>
    <row r="419" spans="2:14" s="5" customFormat="1" thickTop="1" thickBot="1" x14ac:dyDescent="0.25">
      <c r="B419" s="6">
        <v>3</v>
      </c>
      <c r="C419" s="67"/>
      <c r="D419" s="68"/>
      <c r="E419" s="68"/>
      <c r="F419" s="68"/>
      <c r="G419" s="69"/>
      <c r="H419" s="7"/>
      <c r="I419" s="7"/>
      <c r="J419" s="70"/>
      <c r="K419" s="70"/>
      <c r="L419" s="70"/>
      <c r="M419" s="70"/>
      <c r="N419" s="70"/>
    </row>
    <row r="420" spans="2:14" s="5" customFormat="1" thickTop="1" thickBot="1" x14ac:dyDescent="0.25">
      <c r="B420" s="6">
        <v>4</v>
      </c>
      <c r="C420" s="67"/>
      <c r="D420" s="68"/>
      <c r="E420" s="68"/>
      <c r="F420" s="68"/>
      <c r="G420" s="69"/>
      <c r="H420" s="7"/>
      <c r="I420" s="7"/>
      <c r="J420" s="70"/>
      <c r="K420" s="70"/>
      <c r="L420" s="70"/>
      <c r="M420" s="70"/>
      <c r="N420" s="70"/>
    </row>
    <row r="421" spans="2:14" s="5" customFormat="1" thickTop="1" thickBot="1" x14ac:dyDescent="0.25">
      <c r="B421" s="6">
        <v>5</v>
      </c>
      <c r="C421" s="67"/>
      <c r="D421" s="68"/>
      <c r="E421" s="68"/>
      <c r="F421" s="68"/>
      <c r="G421" s="69"/>
      <c r="H421" s="7"/>
      <c r="I421" s="7"/>
      <c r="J421" s="70"/>
      <c r="K421" s="70"/>
      <c r="L421" s="70"/>
      <c r="M421" s="70"/>
      <c r="N421" s="70"/>
    </row>
    <row r="422" spans="2:14" s="5" customFormat="1" thickTop="1" thickBot="1" x14ac:dyDescent="0.25">
      <c r="B422" s="6">
        <v>6</v>
      </c>
      <c r="C422" s="67"/>
      <c r="D422" s="68"/>
      <c r="E422" s="68"/>
      <c r="F422" s="68"/>
      <c r="G422" s="69"/>
      <c r="H422" s="7"/>
      <c r="I422" s="7"/>
      <c r="J422" s="70"/>
      <c r="K422" s="70"/>
      <c r="L422" s="70"/>
      <c r="M422" s="70"/>
      <c r="N422" s="70"/>
    </row>
    <row r="423" spans="2:14" s="5" customFormat="1" thickTop="1" thickBot="1" x14ac:dyDescent="0.25">
      <c r="B423" s="6">
        <v>7</v>
      </c>
      <c r="C423" s="67"/>
      <c r="D423" s="68"/>
      <c r="E423" s="68"/>
      <c r="F423" s="68"/>
      <c r="G423" s="69"/>
      <c r="H423" s="7"/>
      <c r="I423" s="7"/>
      <c r="J423" s="70"/>
      <c r="K423" s="70"/>
      <c r="L423" s="70"/>
      <c r="M423" s="70"/>
      <c r="N423" s="70"/>
    </row>
    <row r="424" spans="2:14" s="5" customFormat="1" thickTop="1" thickBot="1" x14ac:dyDescent="0.25">
      <c r="B424" s="6">
        <v>8</v>
      </c>
      <c r="C424" s="67"/>
      <c r="D424" s="68"/>
      <c r="E424" s="68"/>
      <c r="F424" s="68"/>
      <c r="G424" s="69"/>
      <c r="H424" s="7"/>
      <c r="I424" s="7"/>
      <c r="J424" s="70"/>
      <c r="K424" s="70"/>
      <c r="L424" s="70"/>
      <c r="M424" s="70"/>
      <c r="N424" s="70"/>
    </row>
    <row r="425" spans="2:14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</row>
    <row r="426" spans="2:14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</row>
    <row r="427" spans="2:14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</row>
    <row r="428" spans="2:14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</row>
    <row r="429" spans="2:14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</row>
    <row r="430" spans="2:14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</row>
    <row r="431" spans="2:14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27"/>
      <c r="J431" s="27"/>
      <c r="K431" s="27"/>
      <c r="L431" s="27"/>
      <c r="M431" s="27"/>
    </row>
    <row r="432" spans="2:14" s="5" customFormat="1" thickTop="1" thickBot="1" x14ac:dyDescent="0.25">
      <c r="B432" s="6">
        <v>1</v>
      </c>
      <c r="C432" s="59"/>
      <c r="D432" s="62"/>
      <c r="E432" s="60"/>
      <c r="F432" s="59"/>
      <c r="G432" s="59"/>
      <c r="H432" s="59"/>
      <c r="I432" s="27"/>
      <c r="J432" s="27"/>
      <c r="K432" s="27"/>
      <c r="L432" s="27"/>
      <c r="M432" s="27"/>
    </row>
    <row r="433" spans="2:13" s="5" customFormat="1" thickTop="1" thickBot="1" x14ac:dyDescent="0.25">
      <c r="B433" s="6">
        <v>2</v>
      </c>
      <c r="C433" s="59"/>
      <c r="D433" s="62"/>
      <c r="E433" s="60"/>
      <c r="F433" s="59"/>
      <c r="G433" s="59"/>
      <c r="H433" s="59"/>
      <c r="I433" s="27"/>
      <c r="J433" s="27"/>
      <c r="K433" s="27"/>
      <c r="L433" s="27"/>
      <c r="M433" s="27"/>
    </row>
    <row r="434" spans="2:13" s="5" customFormat="1" thickTop="1" thickBot="1" x14ac:dyDescent="0.25">
      <c r="B434" s="6">
        <v>3</v>
      </c>
      <c r="C434" s="59"/>
      <c r="D434" s="59"/>
      <c r="E434" s="60"/>
      <c r="F434" s="59"/>
      <c r="G434" s="59"/>
      <c r="H434" s="59"/>
      <c r="I434" s="27"/>
      <c r="J434" s="27"/>
      <c r="K434" s="27"/>
      <c r="L434" s="27"/>
      <c r="M434" s="27"/>
    </row>
    <row r="435" spans="2:13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27"/>
      <c r="J435" s="27"/>
      <c r="K435" s="27"/>
      <c r="L435" s="27"/>
      <c r="M435" s="27"/>
    </row>
    <row r="436" spans="2:13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27"/>
      <c r="J436" s="27"/>
      <c r="K436" s="27"/>
      <c r="L436" s="27"/>
      <c r="M436" s="27"/>
    </row>
    <row r="437" spans="2:13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27"/>
      <c r="J437" s="27"/>
      <c r="K437" s="27"/>
      <c r="L437" s="27"/>
      <c r="M437" s="27"/>
    </row>
    <row r="438" spans="2:13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27"/>
      <c r="J438" s="27"/>
      <c r="K438" s="27"/>
      <c r="L438" s="27"/>
      <c r="M438" s="27"/>
    </row>
    <row r="439" spans="2:13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27"/>
      <c r="J439" s="27"/>
      <c r="K439" s="27"/>
      <c r="L439" s="27"/>
      <c r="M439" s="27"/>
    </row>
    <row r="440" spans="2:13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27"/>
      <c r="J440" s="27"/>
      <c r="K440" s="27"/>
      <c r="L440" s="27"/>
      <c r="M440" s="27"/>
    </row>
    <row r="441" spans="2:13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27"/>
      <c r="J441" s="27"/>
      <c r="K441" s="27"/>
      <c r="L441" s="27"/>
      <c r="M441" s="27"/>
    </row>
    <row r="442" spans="2:13" s="5" customFormat="1" thickTop="1" thickBo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2:13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2:13" s="5" customFormat="1" ht="13.5" thickBot="1" x14ac:dyDescent="0.25">
      <c r="B444" s="104"/>
      <c r="C444" s="10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2:13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2:13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27"/>
      <c r="J446" s="27"/>
      <c r="K446" s="27"/>
      <c r="L446" s="27"/>
      <c r="M446" s="27"/>
    </row>
    <row r="447" spans="2:13" s="5" customFormat="1" thickTop="1" thickBot="1" x14ac:dyDescent="0.25">
      <c r="B447" s="6">
        <v>1</v>
      </c>
      <c r="C447" s="59"/>
      <c r="D447" s="59"/>
      <c r="E447" s="60"/>
      <c r="F447" s="59"/>
      <c r="G447" s="59"/>
      <c r="H447" s="59"/>
      <c r="I447" s="27"/>
      <c r="J447" s="27"/>
      <c r="K447" s="27"/>
      <c r="L447" s="27"/>
      <c r="M447" s="27"/>
    </row>
    <row r="448" spans="2:13" s="5" customFormat="1" thickTop="1" thickBot="1" x14ac:dyDescent="0.25">
      <c r="B448" s="6">
        <v>2</v>
      </c>
      <c r="C448" s="59"/>
      <c r="D448" s="59"/>
      <c r="E448" s="60"/>
      <c r="F448" s="59"/>
      <c r="G448" s="59"/>
      <c r="H448" s="59"/>
      <c r="I448" s="27"/>
      <c r="J448" s="27"/>
      <c r="K448" s="27"/>
      <c r="L448" s="27"/>
      <c r="M448" s="27"/>
    </row>
    <row r="449" spans="2:13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27"/>
      <c r="J449" s="27"/>
      <c r="K449" s="27"/>
      <c r="L449" s="27"/>
      <c r="M449" s="27"/>
    </row>
    <row r="450" spans="2:13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27"/>
      <c r="J450" s="27"/>
      <c r="K450" s="27"/>
      <c r="L450" s="27"/>
      <c r="M450" s="27"/>
    </row>
    <row r="451" spans="2:13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27"/>
      <c r="J451" s="27"/>
      <c r="K451" s="27"/>
      <c r="L451" s="27"/>
      <c r="M451" s="27"/>
    </row>
    <row r="452" spans="2:13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27"/>
      <c r="J452" s="27"/>
      <c r="K452" s="27"/>
      <c r="L452" s="27"/>
      <c r="M452" s="27"/>
    </row>
    <row r="453" spans="2:13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27"/>
      <c r="J453" s="27"/>
      <c r="K453" s="27"/>
      <c r="L453" s="27"/>
      <c r="M453" s="27"/>
    </row>
    <row r="454" spans="2:13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27"/>
      <c r="J454" s="27"/>
      <c r="K454" s="27"/>
      <c r="L454" s="27"/>
      <c r="M454" s="27"/>
    </row>
    <row r="455" spans="2:13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27"/>
      <c r="J455" s="27"/>
      <c r="K455" s="27"/>
      <c r="L455" s="27"/>
      <c r="M455" s="27"/>
    </row>
    <row r="456" spans="2:13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27"/>
      <c r="J456" s="27"/>
      <c r="K456" s="27"/>
      <c r="L456" s="27"/>
      <c r="M456" s="27"/>
    </row>
    <row r="457" spans="2:13" s="5" customFormat="1" thickTop="1" thickBot="1" x14ac:dyDescent="0.25"/>
    <row r="458" spans="2:13" s="5" customFormat="1" ht="13.5" thickTop="1" x14ac:dyDescent="0.2">
      <c r="B458" s="102" t="s">
        <v>153</v>
      </c>
      <c r="C458" s="103"/>
    </row>
    <row r="459" spans="2:13" s="5" customFormat="1" ht="13.5" thickBot="1" x14ac:dyDescent="0.25">
      <c r="B459" s="104"/>
      <c r="C459" s="105"/>
    </row>
    <row r="460" spans="2:13" s="5" customFormat="1" thickTop="1" thickBot="1" x14ac:dyDescent="0.25"/>
    <row r="461" spans="2:13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27"/>
      <c r="J461" s="27"/>
      <c r="K461" s="27"/>
      <c r="L461" s="27"/>
      <c r="M461" s="27"/>
    </row>
    <row r="462" spans="2:13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27"/>
      <c r="J462" s="27"/>
      <c r="K462" s="27"/>
      <c r="L462" s="27"/>
      <c r="M462" s="27"/>
    </row>
    <row r="463" spans="2:13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27"/>
      <c r="J463" s="27"/>
      <c r="K463" s="27"/>
      <c r="L463" s="27"/>
      <c r="M463" s="27"/>
    </row>
    <row r="464" spans="2:13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27"/>
      <c r="J464" s="27"/>
      <c r="K464" s="27"/>
      <c r="L464" s="27"/>
      <c r="M464" s="27"/>
    </row>
    <row r="465" spans="2:13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27"/>
      <c r="J465" s="27"/>
      <c r="K465" s="27"/>
      <c r="L465" s="27"/>
      <c r="M465" s="27"/>
    </row>
    <row r="466" spans="2:13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27"/>
      <c r="J466" s="27"/>
      <c r="K466" s="27"/>
      <c r="L466" s="27"/>
      <c r="M466" s="27"/>
    </row>
    <row r="467" spans="2:13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27"/>
      <c r="J467" s="27"/>
      <c r="K467" s="27"/>
      <c r="L467" s="27"/>
      <c r="M467" s="27"/>
    </row>
    <row r="468" spans="2:13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27"/>
      <c r="J468" s="27"/>
      <c r="K468" s="27"/>
      <c r="L468" s="27"/>
      <c r="M468" s="27"/>
    </row>
    <row r="469" spans="2:13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27"/>
      <c r="J469" s="27"/>
      <c r="K469" s="27"/>
      <c r="L469" s="27"/>
      <c r="M469" s="27"/>
    </row>
    <row r="470" spans="2:13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27"/>
      <c r="J470" s="27"/>
      <c r="K470" s="27"/>
      <c r="L470" s="27"/>
      <c r="M470" s="27"/>
    </row>
    <row r="471" spans="2:13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27"/>
    </row>
    <row r="472" spans="2:13" s="5" customFormat="1" ht="13.5" thickTop="1" x14ac:dyDescent="0.2"/>
  </sheetData>
  <sheetProtection algorithmName="SHA-512" hashValue="uRvKnZca0x21WFa89AS1GMJKulmL2EF4fGLqSgfhI/okDfQAX0E/3+BSSDpBAoc+1YyZAwZYymthtgMrXFehNw==" saltValue="Ec4M7+jNe4qEPANsHrmqbQ==" spinCount="100000" sheet="1" objects="1" scenarios="1" selectLockedCells="1"/>
  <mergeCells count="339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19:G119"/>
    <mergeCell ref="J58:N58"/>
    <mergeCell ref="C59:G59"/>
    <mergeCell ref="J59:N59"/>
    <mergeCell ref="C60:G60"/>
    <mergeCell ref="J60:N60"/>
    <mergeCell ref="B40:E40"/>
    <mergeCell ref="B54:D54"/>
    <mergeCell ref="C56:G56"/>
    <mergeCell ref="J56:N56"/>
    <mergeCell ref="C57:G57"/>
    <mergeCell ref="J57:N57"/>
    <mergeCell ref="J64:N64"/>
    <mergeCell ref="C65:G65"/>
    <mergeCell ref="J65:N65"/>
    <mergeCell ref="C66:G66"/>
    <mergeCell ref="C67:G67"/>
    <mergeCell ref="C61:G61"/>
    <mergeCell ref="J61:N61"/>
    <mergeCell ref="C62:G62"/>
    <mergeCell ref="J62:N62"/>
    <mergeCell ref="C63:G63"/>
    <mergeCell ref="J63:N63"/>
    <mergeCell ref="J88:N88"/>
    <mergeCell ref="C89:G89"/>
    <mergeCell ref="J89:N89"/>
    <mergeCell ref="C90:G90"/>
    <mergeCell ref="J90:N90"/>
    <mergeCell ref="C68:G68"/>
    <mergeCell ref="J68:N68"/>
    <mergeCell ref="B72:E72"/>
    <mergeCell ref="B85:D85"/>
    <mergeCell ref="C87:G87"/>
    <mergeCell ref="J87:N87"/>
    <mergeCell ref="J94:N94"/>
    <mergeCell ref="C95:G95"/>
    <mergeCell ref="J95:N95"/>
    <mergeCell ref="C96:G96"/>
    <mergeCell ref="J96:N96"/>
    <mergeCell ref="C91:G91"/>
    <mergeCell ref="J91:N91"/>
    <mergeCell ref="C92:G92"/>
    <mergeCell ref="J92:N92"/>
    <mergeCell ref="C93:G93"/>
    <mergeCell ref="J93:N93"/>
    <mergeCell ref="J119:N119"/>
    <mergeCell ref="C120:G120"/>
    <mergeCell ref="J120:N120"/>
    <mergeCell ref="C121:G121"/>
    <mergeCell ref="J121:N121"/>
    <mergeCell ref="C98:G98"/>
    <mergeCell ref="J98:N98"/>
    <mergeCell ref="B102:F102"/>
    <mergeCell ref="B116:D116"/>
    <mergeCell ref="C118:G118"/>
    <mergeCell ref="J118:N118"/>
    <mergeCell ref="C125:G125"/>
    <mergeCell ref="J125:N125"/>
    <mergeCell ref="C126:G126"/>
    <mergeCell ref="J126:N126"/>
    <mergeCell ref="C127:G127"/>
    <mergeCell ref="C130:G130"/>
    <mergeCell ref="J130:N130"/>
    <mergeCell ref="C122:G122"/>
    <mergeCell ref="J122:N122"/>
    <mergeCell ref="C123:G123"/>
    <mergeCell ref="J123:N123"/>
    <mergeCell ref="C124:G124"/>
    <mergeCell ref="J124:N124"/>
    <mergeCell ref="C149:G149"/>
    <mergeCell ref="J149:N149"/>
    <mergeCell ref="C150:G150"/>
    <mergeCell ref="J150:N150"/>
    <mergeCell ref="C151:G151"/>
    <mergeCell ref="J151:N151"/>
    <mergeCell ref="B134:F134"/>
    <mergeCell ref="B145:D145"/>
    <mergeCell ref="C147:G147"/>
    <mergeCell ref="J147:N147"/>
    <mergeCell ref="C148:G148"/>
    <mergeCell ref="J148:N148"/>
    <mergeCell ref="C155:G155"/>
    <mergeCell ref="J155:N155"/>
    <mergeCell ref="C156:G156"/>
    <mergeCell ref="J156:N156"/>
    <mergeCell ref="B160:F160"/>
    <mergeCell ref="B164:F164"/>
    <mergeCell ref="C152:G152"/>
    <mergeCell ref="J152:N152"/>
    <mergeCell ref="C153:G153"/>
    <mergeCell ref="J153:N153"/>
    <mergeCell ref="C154:G154"/>
    <mergeCell ref="J154:N154"/>
    <mergeCell ref="C173:G173"/>
    <mergeCell ref="J173:N173"/>
    <mergeCell ref="C174:G174"/>
    <mergeCell ref="J174:N174"/>
    <mergeCell ref="C175:G175"/>
    <mergeCell ref="J175:N175"/>
    <mergeCell ref="B168:D168"/>
    <mergeCell ref="C170:G170"/>
    <mergeCell ref="J170:N170"/>
    <mergeCell ref="C171:G171"/>
    <mergeCell ref="J171:N171"/>
    <mergeCell ref="C172:G172"/>
    <mergeCell ref="J172:N172"/>
    <mergeCell ref="C198:G198"/>
    <mergeCell ref="J198:N198"/>
    <mergeCell ref="C199:G199"/>
    <mergeCell ref="J199:N199"/>
    <mergeCell ref="C200:G200"/>
    <mergeCell ref="J200:N200"/>
    <mergeCell ref="B179:F179"/>
    <mergeCell ref="B191:D191"/>
    <mergeCell ref="B192:F192"/>
    <mergeCell ref="C196:G196"/>
    <mergeCell ref="J196:N196"/>
    <mergeCell ref="C197:G197"/>
    <mergeCell ref="J197:N197"/>
    <mergeCell ref="C204:G204"/>
    <mergeCell ref="J204:N204"/>
    <mergeCell ref="C205:G205"/>
    <mergeCell ref="J205:N205"/>
    <mergeCell ref="C206:G206"/>
    <mergeCell ref="J206:N206"/>
    <mergeCell ref="C201:G201"/>
    <mergeCell ref="J201:N201"/>
    <mergeCell ref="C202:G202"/>
    <mergeCell ref="J202:N202"/>
    <mergeCell ref="C203:G203"/>
    <mergeCell ref="J203:N203"/>
    <mergeCell ref="B216:F216"/>
    <mergeCell ref="B224:D224"/>
    <mergeCell ref="C226:G226"/>
    <mergeCell ref="J226:N226"/>
    <mergeCell ref="C227:G227"/>
    <mergeCell ref="J227:N227"/>
    <mergeCell ref="C207:G207"/>
    <mergeCell ref="J207:N207"/>
    <mergeCell ref="C208:G208"/>
    <mergeCell ref="C209:G209"/>
    <mergeCell ref="J209:N209"/>
    <mergeCell ref="B213:F213"/>
    <mergeCell ref="C231:G231"/>
    <mergeCell ref="J231:N231"/>
    <mergeCell ref="C232:G232"/>
    <mergeCell ref="J232:N232"/>
    <mergeCell ref="C233:G233"/>
    <mergeCell ref="J233:N233"/>
    <mergeCell ref="C228:G228"/>
    <mergeCell ref="J228:N228"/>
    <mergeCell ref="C229:G229"/>
    <mergeCell ref="J229:N229"/>
    <mergeCell ref="C230:G230"/>
    <mergeCell ref="J230:N230"/>
    <mergeCell ref="C273:G273"/>
    <mergeCell ref="J273:N273"/>
    <mergeCell ref="C274:G274"/>
    <mergeCell ref="J274:N274"/>
    <mergeCell ref="C275:G275"/>
    <mergeCell ref="J275:N275"/>
    <mergeCell ref="C234:G234"/>
    <mergeCell ref="J234:N234"/>
    <mergeCell ref="B238:C238"/>
    <mergeCell ref="B240:E240"/>
    <mergeCell ref="B270:D270"/>
    <mergeCell ref="C272:G272"/>
    <mergeCell ref="J272:N272"/>
    <mergeCell ref="C279:G279"/>
    <mergeCell ref="J279:N279"/>
    <mergeCell ref="C280:G280"/>
    <mergeCell ref="J280:N280"/>
    <mergeCell ref="C281:G281"/>
    <mergeCell ref="J281:N281"/>
    <mergeCell ref="C276:G276"/>
    <mergeCell ref="J276:N276"/>
    <mergeCell ref="C277:G277"/>
    <mergeCell ref="J277:N277"/>
    <mergeCell ref="C278:G278"/>
    <mergeCell ref="J278:N278"/>
    <mergeCell ref="C285:G285"/>
    <mergeCell ref="J285:N285"/>
    <mergeCell ref="C286:G286"/>
    <mergeCell ref="J286:N286"/>
    <mergeCell ref="C287:G287"/>
    <mergeCell ref="J287:N287"/>
    <mergeCell ref="C282:G282"/>
    <mergeCell ref="J282:N282"/>
    <mergeCell ref="C283:G283"/>
    <mergeCell ref="J283:N283"/>
    <mergeCell ref="C284:G284"/>
    <mergeCell ref="J284:N284"/>
    <mergeCell ref="C291:G291"/>
    <mergeCell ref="J291:N291"/>
    <mergeCell ref="C292:G292"/>
    <mergeCell ref="J292:N292"/>
    <mergeCell ref="C293:G293"/>
    <mergeCell ref="J293:N293"/>
    <mergeCell ref="C288:G288"/>
    <mergeCell ref="J288:N288"/>
    <mergeCell ref="C289:G289"/>
    <mergeCell ref="J289:N289"/>
    <mergeCell ref="C290:G290"/>
    <mergeCell ref="J290:N290"/>
    <mergeCell ref="C297:G297"/>
    <mergeCell ref="J297:N297"/>
    <mergeCell ref="C298:G298"/>
    <mergeCell ref="C299:G299"/>
    <mergeCell ref="C300:G300"/>
    <mergeCell ref="C294:G294"/>
    <mergeCell ref="J294:N294"/>
    <mergeCell ref="C295:G295"/>
    <mergeCell ref="J295:N295"/>
    <mergeCell ref="C296:G296"/>
    <mergeCell ref="J296:N296"/>
    <mergeCell ref="C339:G339"/>
    <mergeCell ref="J339:N339"/>
    <mergeCell ref="C340:G340"/>
    <mergeCell ref="J340:N340"/>
    <mergeCell ref="C341:G341"/>
    <mergeCell ref="J341:N341"/>
    <mergeCell ref="B304:F304"/>
    <mergeCell ref="B332:D332"/>
    <mergeCell ref="B333:F333"/>
    <mergeCell ref="C337:G337"/>
    <mergeCell ref="J337:N337"/>
    <mergeCell ref="C338:G338"/>
    <mergeCell ref="J338:N338"/>
    <mergeCell ref="C345:G345"/>
    <mergeCell ref="J345:N345"/>
    <mergeCell ref="C346:G346"/>
    <mergeCell ref="J346:N346"/>
    <mergeCell ref="C347:G347"/>
    <mergeCell ref="J347:N347"/>
    <mergeCell ref="C342:G342"/>
    <mergeCell ref="J342:N342"/>
    <mergeCell ref="C343:G343"/>
    <mergeCell ref="J343:N343"/>
    <mergeCell ref="C344:G344"/>
    <mergeCell ref="J344:N344"/>
    <mergeCell ref="C351:G351"/>
    <mergeCell ref="J351:N351"/>
    <mergeCell ref="C352:G352"/>
    <mergeCell ref="J352:N352"/>
    <mergeCell ref="C353:G353"/>
    <mergeCell ref="J353:N353"/>
    <mergeCell ref="C348:G348"/>
    <mergeCell ref="J348:N348"/>
    <mergeCell ref="C349:G349"/>
    <mergeCell ref="J349:N349"/>
    <mergeCell ref="C350:G350"/>
    <mergeCell ref="J350:N350"/>
    <mergeCell ref="C357:G357"/>
    <mergeCell ref="J357:N357"/>
    <mergeCell ref="C358:G358"/>
    <mergeCell ref="J358:N358"/>
    <mergeCell ref="C359:G359"/>
    <mergeCell ref="J359:N359"/>
    <mergeCell ref="C354:G354"/>
    <mergeCell ref="J354:N354"/>
    <mergeCell ref="C355:G355"/>
    <mergeCell ref="J355:N355"/>
    <mergeCell ref="C356:G356"/>
    <mergeCell ref="J356:N356"/>
    <mergeCell ref="J365:N365"/>
    <mergeCell ref="B369:F369"/>
    <mergeCell ref="B382:D382"/>
    <mergeCell ref="C360:G360"/>
    <mergeCell ref="J360:N360"/>
    <mergeCell ref="C361:G361"/>
    <mergeCell ref="J361:N361"/>
    <mergeCell ref="C362:G362"/>
    <mergeCell ref="J362:N362"/>
    <mergeCell ref="B383:F383"/>
    <mergeCell ref="C387:G387"/>
    <mergeCell ref="C388:G388"/>
    <mergeCell ref="C389:G389"/>
    <mergeCell ref="C390:G390"/>
    <mergeCell ref="C391:G391"/>
    <mergeCell ref="C363:G363"/>
    <mergeCell ref="C364:G364"/>
    <mergeCell ref="C365:G365"/>
    <mergeCell ref="B403:F403"/>
    <mergeCell ref="B406:F406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14:C14"/>
    <mergeCell ref="D14:G14"/>
    <mergeCell ref="C97:G97"/>
    <mergeCell ref="C128:G128"/>
    <mergeCell ref="C129:G129"/>
    <mergeCell ref="C423:G423"/>
    <mergeCell ref="J423:N423"/>
    <mergeCell ref="C424:G424"/>
    <mergeCell ref="J424:N424"/>
    <mergeCell ref="C420:G420"/>
    <mergeCell ref="J420:N420"/>
    <mergeCell ref="C421:G421"/>
    <mergeCell ref="J421:N421"/>
    <mergeCell ref="C422:G422"/>
    <mergeCell ref="J422:N422"/>
    <mergeCell ref="J416:N416"/>
    <mergeCell ref="C417:G417"/>
    <mergeCell ref="J417:N417"/>
    <mergeCell ref="C418:G418"/>
    <mergeCell ref="J418:N418"/>
    <mergeCell ref="C419:G419"/>
    <mergeCell ref="J419:N419"/>
    <mergeCell ref="C398:G398"/>
    <mergeCell ref="C399:G399"/>
  </mergeCells>
  <dataValidations count="1">
    <dataValidation type="decimal" operator="greaterThanOrEqual" allowBlank="1" showInputMessage="1" showErrorMessage="1" error="يسمح بإدخال أرقام فقط." sqref="E20:E26 E42:E53 E74:E84 E104:E115 E136:E144 E162:E163 E165:E167 E181:E190 E193:E194 E215 E217:E223 E242:E269 E306:E331 E334:E335 E371:E381 E384:E385 E405 E407:E413 E432:E441 E447:E456" xr:uid="{00000000-0002-0000-0B00-000000000000}">
      <formula1>0</formula1>
    </dataValidation>
  </dataValidations>
  <pageMargins left="0.7" right="0.7" top="0.75" bottom="0.75" header="0.3" footer="0.3"/>
  <pageSetup scale="27" orientation="portrait" r:id="rId1"/>
  <rowBreaks count="3" manualBreakCount="3">
    <brk id="100" max="8" man="1"/>
    <brk id="236" max="8" man="1"/>
    <brk id="367" max="8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9:Q472"/>
  <sheetViews>
    <sheetView showGridLines="0" showRowColHeaders="0" rightToLeft="1" topLeftCell="A4" zoomScaleNormal="100" zoomScaleSheetLayoutView="100" workbookViewId="0">
      <selection activeCell="E24" sqref="E24"/>
    </sheetView>
  </sheetViews>
  <sheetFormatPr defaultColWidth="9.125" defaultRowHeight="14.25" x14ac:dyDescent="0.2"/>
  <cols>
    <col min="1" max="1" width="4.375" customWidth="1"/>
    <col min="2" max="2" width="5.875" customWidth="1"/>
    <col min="3" max="3" width="32.125" customWidth="1"/>
    <col min="4" max="4" width="17" bestFit="1" customWidth="1"/>
    <col min="5" max="5" width="14.875" customWidth="1"/>
    <col min="6" max="6" width="17.875" customWidth="1"/>
    <col min="7" max="7" width="34.125" customWidth="1"/>
    <col min="8" max="8" width="33.625" customWidth="1"/>
    <col min="9" max="9" width="23.375" customWidth="1"/>
    <col min="10" max="10" width="12.875" customWidth="1"/>
    <col min="11" max="11" width="33.375" customWidth="1"/>
    <col min="12" max="12" width="21.75" customWidth="1"/>
  </cols>
  <sheetData>
    <row r="9" spans="1:12" ht="18" x14ac:dyDescent="0.2">
      <c r="A9" s="44"/>
      <c r="B9" s="106" t="s">
        <v>132</v>
      </c>
      <c r="C9" s="106"/>
      <c r="D9" s="106"/>
      <c r="E9" s="106"/>
      <c r="F9" s="106"/>
      <c r="G9" s="106"/>
    </row>
    <row r="10" spans="1:12" ht="18" x14ac:dyDescent="0.2">
      <c r="A10" s="44"/>
      <c r="B10" s="106" t="s">
        <v>133</v>
      </c>
      <c r="C10" s="106"/>
      <c r="D10" s="106"/>
      <c r="E10" s="106"/>
      <c r="F10" s="106"/>
      <c r="G10" s="106"/>
    </row>
    <row r="11" spans="1:12" x14ac:dyDescent="0.2">
      <c r="B11" s="107"/>
      <c r="C11" s="107"/>
      <c r="D11" s="107"/>
      <c r="E11" s="107"/>
      <c r="F11" s="107"/>
      <c r="G11" s="107"/>
    </row>
    <row r="12" spans="1:12" s="1" customFormat="1" ht="15.75" thickBot="1" x14ac:dyDescent="0.35">
      <c r="B12" s="108"/>
      <c r="C12" s="108"/>
      <c r="D12" s="108"/>
      <c r="E12" s="108"/>
      <c r="F12" s="108"/>
      <c r="G12" s="108"/>
    </row>
    <row r="13" spans="1:12" s="1" customFormat="1" ht="34.5" customHeight="1" thickTop="1" thickBot="1" x14ac:dyDescent="0.35">
      <c r="B13" s="85" t="s">
        <v>166</v>
      </c>
      <c r="C13" s="86"/>
      <c r="D13" s="86"/>
      <c r="E13" s="86"/>
      <c r="F13" s="86"/>
      <c r="G13" s="87"/>
      <c r="H13" s="2"/>
      <c r="I13" s="2"/>
      <c r="J13" s="2"/>
      <c r="K13" s="2"/>
      <c r="L13" s="2"/>
    </row>
    <row r="14" spans="1:12" s="1" customFormat="1" ht="34.5" customHeight="1" thickTop="1" thickBot="1" x14ac:dyDescent="0.35">
      <c r="B14" s="90" t="s">
        <v>168</v>
      </c>
      <c r="C14" s="90"/>
      <c r="D14" s="90" t="str">
        <f>يناير!D14</f>
        <v>الوجاجه</v>
      </c>
      <c r="E14" s="90"/>
      <c r="F14" s="90"/>
      <c r="G14" s="90"/>
      <c r="H14" s="2"/>
      <c r="I14" s="2"/>
      <c r="J14" s="2"/>
      <c r="K14" s="2"/>
      <c r="L14" s="2"/>
    </row>
    <row r="15" spans="1:12" s="1" customFormat="1" ht="16.5" thickTop="1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s="5" customFormat="1" ht="21.75" thickTop="1" thickBot="1" x14ac:dyDescent="0.25">
      <c r="B16" s="100" t="s">
        <v>131</v>
      </c>
      <c r="C16" s="101"/>
    </row>
    <row r="17" spans="2:16" s="5" customFormat="1" thickTop="1" thickBot="1" x14ac:dyDescent="0.25"/>
    <row r="18" spans="2:16" s="5" customFormat="1" ht="17.25" thickTop="1" thickBot="1" x14ac:dyDescent="0.25">
      <c r="B18" s="71" t="s">
        <v>134</v>
      </c>
      <c r="C18" s="72"/>
      <c r="D18" s="72"/>
      <c r="E18" s="73"/>
    </row>
    <row r="19" spans="2:16" s="5" customFormat="1" thickTop="1" thickBot="1" x14ac:dyDescent="0.25">
      <c r="B19" s="46" t="s">
        <v>0</v>
      </c>
      <c r="C19" s="46" t="s">
        <v>89</v>
      </c>
      <c r="D19" s="46" t="s">
        <v>11</v>
      </c>
      <c r="E19" s="46" t="s">
        <v>82</v>
      </c>
    </row>
    <row r="20" spans="2:16" s="5" customFormat="1" thickTop="1" thickBot="1" x14ac:dyDescent="0.25">
      <c r="B20" s="6">
        <v>1</v>
      </c>
      <c r="C20" s="6" t="s">
        <v>31</v>
      </c>
      <c r="D20" s="6" t="s">
        <v>28</v>
      </c>
      <c r="E20" s="61">
        <f>ديسمبر!E20+نوفمبر!E20+'اكتوبر '!E20+سبتمبر!E20+اغسطس!E20+يوليو!E20+يونيو!E20+مايو!E20+ابريل!E20+مارس!E20+فبراير!E20+يناير!E20</f>
        <v>0</v>
      </c>
      <c r="L20" s="7"/>
    </row>
    <row r="21" spans="2:16" s="5" customFormat="1" thickTop="1" thickBot="1" x14ac:dyDescent="0.25">
      <c r="B21" s="6">
        <v>2</v>
      </c>
      <c r="C21" s="6" t="s">
        <v>29</v>
      </c>
      <c r="D21" s="6" t="s">
        <v>28</v>
      </c>
      <c r="E21" s="61">
        <f>ديسمبر!E21+نوفمبر!E21+'اكتوبر '!E21+سبتمبر!E21+اغسطس!E21+يوليو!E21+يونيو!E21+مايو!E21+ابريل!E21+مارس!E21+فبراير!E21+يناير!E21</f>
        <v>0</v>
      </c>
      <c r="G21" s="58"/>
      <c r="L21" s="7"/>
    </row>
    <row r="22" spans="2:16" s="5" customFormat="1" thickTop="1" thickBot="1" x14ac:dyDescent="0.25">
      <c r="B22" s="6">
        <v>3</v>
      </c>
      <c r="C22" s="6" t="s">
        <v>71</v>
      </c>
      <c r="D22" s="6" t="s">
        <v>28</v>
      </c>
      <c r="E22" s="61">
        <f>ديسمبر!E22+نوفمبر!E22+'اكتوبر '!E22+سبتمبر!E22+اغسطس!E22+يوليو!E22+يونيو!E22+مايو!E22+ابريل!E22+مارس!E22+فبراير!E22+يناير!E22</f>
        <v>0</v>
      </c>
      <c r="L22" s="7"/>
    </row>
    <row r="23" spans="2:16" s="5" customFormat="1" thickTop="1" thickBot="1" x14ac:dyDescent="0.25">
      <c r="B23" s="6">
        <v>4</v>
      </c>
      <c r="C23" s="6" t="s">
        <v>30</v>
      </c>
      <c r="D23" s="6" t="s">
        <v>28</v>
      </c>
      <c r="E23" s="61">
        <f>ديسمبر!E23+نوفمبر!E23+'اكتوبر '!E23+سبتمبر!E23+اغسطس!E23+يوليو!E23+يونيو!E23+مايو!E23+ابريل!E23+مارس!E23+فبراير!E23+يناير!E23</f>
        <v>0</v>
      </c>
    </row>
    <row r="24" spans="2:16" s="5" customFormat="1" thickTop="1" thickBot="1" x14ac:dyDescent="0.25">
      <c r="B24" s="6">
        <v>5</v>
      </c>
      <c r="C24" s="6" t="s">
        <v>27</v>
      </c>
      <c r="D24" s="6" t="s">
        <v>28</v>
      </c>
      <c r="E24" s="61">
        <f>ديسمبر!E24+نوفمبر!E24+'اكتوبر '!E24+سبتمبر!E24+اغسطس!E24+يوليو!E24+يونيو!E24+مايو!E24+ابريل!E24+مارس!E24+فبراير!E24+يناير!E24</f>
        <v>161</v>
      </c>
    </row>
    <row r="25" spans="2:16" s="5" customFormat="1" thickTop="1" thickBot="1" x14ac:dyDescent="0.25">
      <c r="B25" s="6">
        <v>6</v>
      </c>
      <c r="C25" s="6" t="s">
        <v>47</v>
      </c>
      <c r="D25" s="6" t="s">
        <v>28</v>
      </c>
      <c r="E25" s="61">
        <f>ديسمبر!E25+نوفمبر!E25+'اكتوبر '!E25+سبتمبر!E25+اغسطس!E25+يوليو!E25+يونيو!E25+مايو!E25+ابريل!E25+مارس!E25+فبراير!E25+يناير!E25</f>
        <v>0</v>
      </c>
    </row>
    <row r="26" spans="2:16" s="5" customFormat="1" thickTop="1" thickBot="1" x14ac:dyDescent="0.25">
      <c r="B26" s="6">
        <v>7</v>
      </c>
      <c r="C26" s="6" t="s">
        <v>48</v>
      </c>
      <c r="D26" s="6" t="s">
        <v>28</v>
      </c>
      <c r="E26" s="61">
        <f>ديسمبر!E26+نوفمبر!E26+'اكتوبر '!E26+سبتمبر!E26+اغسطس!E26+يوليو!E26+يونيو!E26+مايو!E26+ابريل!E26+مارس!E26+فبراير!E26+يناير!E26</f>
        <v>0</v>
      </c>
    </row>
    <row r="27" spans="2:16" s="5" customFormat="1" thickTop="1" thickBot="1" x14ac:dyDescent="0.25">
      <c r="B27" s="74" t="s">
        <v>80</v>
      </c>
      <c r="C27" s="75"/>
      <c r="D27" s="76"/>
      <c r="E27" s="36">
        <f>SUM(E20:E26)</f>
        <v>161</v>
      </c>
    </row>
    <row r="28" spans="2:16" s="5" customFormat="1" thickTop="1" thickBot="1" x14ac:dyDescent="0.25"/>
    <row r="29" spans="2:16" s="5" customFormat="1" ht="17.25" customHeight="1" thickTop="1" thickBot="1" x14ac:dyDescent="0.25">
      <c r="B29" s="47" t="s">
        <v>0</v>
      </c>
      <c r="C29" s="77" t="s">
        <v>5</v>
      </c>
      <c r="D29" s="78"/>
      <c r="E29" s="78"/>
      <c r="F29" s="78"/>
      <c r="G29" s="79"/>
      <c r="H29" s="8"/>
      <c r="I29" s="8"/>
      <c r="J29" s="8"/>
      <c r="K29" s="8"/>
      <c r="L29" s="8"/>
      <c r="M29" s="8"/>
      <c r="N29" s="8"/>
      <c r="O29" s="8"/>
      <c r="P29" s="8"/>
    </row>
    <row r="30" spans="2:16" s="5" customFormat="1" ht="17.25" customHeight="1" thickTop="1" thickBot="1" x14ac:dyDescent="0.25">
      <c r="B30" s="6">
        <v>1</v>
      </c>
      <c r="C30" s="67" t="str">
        <f>CONCATENATE(يناير!C30,فبراير!C30,مارس!C30,ابريل!C30,مايو!C30,يونيو!C30,يوليو!C30,اغسطس!C30,سبتمبر!C30,نوفمبر!C30,'اكتوبر '!C30:G30,ديسمبر!C30)</f>
        <v/>
      </c>
      <c r="D30" s="68"/>
      <c r="E30" s="68"/>
      <c r="F30" s="68"/>
      <c r="G30" s="69"/>
      <c r="H30" s="8"/>
      <c r="I30" s="8"/>
      <c r="J30" s="8"/>
      <c r="K30" s="8"/>
      <c r="L30" s="8"/>
      <c r="M30" s="8"/>
      <c r="N30" s="8"/>
      <c r="O30" s="8"/>
      <c r="P30" s="8"/>
    </row>
    <row r="31" spans="2:16" s="5" customFormat="1" ht="17.25" customHeight="1" thickTop="1" thickBot="1" x14ac:dyDescent="0.25">
      <c r="B31" s="6">
        <v>2</v>
      </c>
      <c r="C31" s="67" t="str">
        <f>CONCATENATE(يناير!C31,فبراير!C31,مارس!C31,ابريل!C31,مايو!C31,يونيو!C31,يوليو!C31,اغسطس!C31,سبتمبر!C31,نوفمبر!C31,'اكتوبر '!C31:G31,ديسمبر!C31)</f>
        <v/>
      </c>
      <c r="D31" s="68"/>
      <c r="E31" s="68"/>
      <c r="F31" s="68"/>
      <c r="G31" s="69"/>
      <c r="H31" s="8"/>
      <c r="I31" s="8"/>
      <c r="J31" s="8"/>
      <c r="K31" s="8"/>
      <c r="L31" s="8"/>
      <c r="M31" s="8"/>
      <c r="N31" s="8"/>
      <c r="O31" s="8"/>
      <c r="P31" s="8"/>
    </row>
    <row r="32" spans="2:16" s="5" customFormat="1" ht="17.25" customHeight="1" thickTop="1" thickBot="1" x14ac:dyDescent="0.25">
      <c r="B32" s="6">
        <v>3</v>
      </c>
      <c r="C32" s="67" t="str">
        <f>CONCATENATE(يناير!C32,فبراير!C32,مارس!C32,ابريل!C32,مايو!C32,يونيو!C32,يوليو!C32,اغسطس!C32,سبتمبر!C32,نوفمبر!C32,'اكتوبر '!C32:G32,ديسمبر!C32)</f>
        <v/>
      </c>
      <c r="D32" s="68"/>
      <c r="E32" s="68"/>
      <c r="F32" s="68"/>
      <c r="G32" s="69"/>
      <c r="H32" s="8"/>
      <c r="I32" s="8"/>
      <c r="J32" s="8"/>
      <c r="K32" s="8"/>
      <c r="L32" s="8"/>
      <c r="M32" s="8"/>
      <c r="N32" s="8"/>
      <c r="O32" s="8"/>
      <c r="P32" s="8"/>
    </row>
    <row r="33" spans="2:16" s="5" customFormat="1" ht="17.25" customHeight="1" thickTop="1" thickBot="1" x14ac:dyDescent="0.25">
      <c r="B33" s="6">
        <v>4</v>
      </c>
      <c r="C33" s="67" t="str">
        <f>CONCATENATE(يناير!C33,فبراير!C33,مارس!C33,ابريل!C33,مايو!C33,يونيو!C33,يوليو!C33,اغسطس!C33,سبتمبر!C33,نوفمبر!C33,'اكتوبر '!C33:G33,ديسمبر!C33)</f>
        <v/>
      </c>
      <c r="D33" s="68"/>
      <c r="E33" s="68"/>
      <c r="F33" s="68"/>
      <c r="G33" s="69"/>
      <c r="H33" s="8"/>
      <c r="I33" s="8"/>
      <c r="J33" s="8"/>
      <c r="K33" s="8"/>
      <c r="L33" s="8"/>
      <c r="M33" s="8"/>
      <c r="N33" s="8"/>
      <c r="O33" s="8"/>
      <c r="P33" s="8"/>
    </row>
    <row r="34" spans="2:16" s="5" customFormat="1" ht="17.25" customHeight="1" thickTop="1" thickBot="1" x14ac:dyDescent="0.25">
      <c r="B34" s="6">
        <v>5</v>
      </c>
      <c r="C34" s="67" t="str">
        <f>CONCATENATE(يناير!C34,فبراير!C34,مارس!C34,ابريل!C34,مايو!C34,يونيو!C34,يوليو!C34,اغسطس!C34,سبتمبر!C34,نوفمبر!C34,'اكتوبر '!C34:G34,ديسمبر!C34)</f>
        <v xml:space="preserve">الامارات/فرنسا/الولايات المتحدة/اورغواي/المملكة المتحدة و ايرلندابريطانيا – فرنسا – بلجيكا – الدنمارك – عمان - الاماراتاستراليا/السعودية/فرنسا/ايطاليا/اسبانيا/ايرلندا/امريكا/المملكة المتحدة/جنوب افريقيا/عمان/الاماراتالامارات/فرنسا/الولايات المتحدة/اورغواي/المملكة المتحدة /ايطاليا/ ايرلنداأمريكا-الارجواي-الامارات-ايرلندا-بريطانيا-عمان-فرنسا-قطر-هولندافرنسا-استراليا -امريكا -سولفينيا-الامارات-الاورجواي </v>
      </c>
      <c r="D34" s="68"/>
      <c r="E34" s="68"/>
      <c r="F34" s="68"/>
      <c r="G34" s="69"/>
      <c r="H34" s="8"/>
      <c r="I34" s="8"/>
      <c r="J34" s="8"/>
      <c r="K34" s="8"/>
      <c r="L34" s="8"/>
      <c r="M34" s="8"/>
      <c r="N34" s="8"/>
      <c r="O34" s="8"/>
      <c r="P34" s="8"/>
    </row>
    <row r="35" spans="2:16" s="5" customFormat="1" ht="17.25" customHeight="1" thickTop="1" thickBot="1" x14ac:dyDescent="0.25">
      <c r="B35" s="6">
        <v>6</v>
      </c>
      <c r="C35" s="67" t="str">
        <f>CONCATENATE(يناير!C35,فبراير!C35,مارس!C35,ابريل!C35,مايو!C35,يونيو!C35,يوليو!C35,اغسطس!C35,سبتمبر!C35,نوفمبر!C35,'اكتوبر '!C35:G35,ديسمبر!C35)</f>
        <v/>
      </c>
      <c r="D35" s="68"/>
      <c r="E35" s="68"/>
      <c r="F35" s="68"/>
      <c r="G35" s="69"/>
      <c r="H35" s="8"/>
      <c r="I35" s="8"/>
      <c r="J35" s="8"/>
      <c r="K35" s="8"/>
      <c r="L35" s="8"/>
      <c r="M35" s="8"/>
      <c r="N35" s="8"/>
      <c r="O35" s="8"/>
      <c r="P35" s="8"/>
    </row>
    <row r="36" spans="2:16" s="5" customFormat="1" ht="17.25" customHeight="1" thickTop="1" thickBot="1" x14ac:dyDescent="0.25">
      <c r="B36" s="6">
        <v>7</v>
      </c>
      <c r="C36" s="67" t="str">
        <f>CONCATENATE(يناير!C36,فبراير!C36,مارس!C36,ابريل!C36,مايو!C36,يونيو!C36,يوليو!C36,اغسطس!C36,سبتمبر!C36,نوفمبر!C36,'اكتوبر '!C36:G36,ديسمبر!C36)</f>
        <v/>
      </c>
      <c r="D36" s="68"/>
      <c r="E36" s="68"/>
      <c r="F36" s="68"/>
      <c r="G36" s="69"/>
      <c r="H36" s="8"/>
      <c r="I36" s="8"/>
      <c r="J36" s="8"/>
      <c r="K36" s="8"/>
      <c r="L36" s="8"/>
      <c r="M36" s="8"/>
      <c r="N36" s="8"/>
      <c r="O36" s="8"/>
      <c r="P36" s="8"/>
    </row>
    <row r="37" spans="2:16" s="5" customFormat="1" ht="17.25" customHeight="1" thickTop="1" x14ac:dyDescent="0.2">
      <c r="B37" s="7"/>
      <c r="C37" s="7"/>
      <c r="D37" s="7"/>
      <c r="E37" s="7"/>
      <c r="F37" s="7"/>
      <c r="G37" s="7"/>
      <c r="H37" s="8"/>
      <c r="I37" s="8"/>
      <c r="J37" s="8"/>
      <c r="K37" s="8"/>
      <c r="L37" s="8"/>
      <c r="M37" s="8"/>
      <c r="N37" s="8"/>
      <c r="O37" s="8"/>
      <c r="P37" s="8"/>
    </row>
    <row r="38" spans="2:16" s="5" customFormat="1" ht="17.25" customHeight="1" x14ac:dyDescent="0.2">
      <c r="B38" s="7"/>
      <c r="C38" s="7"/>
      <c r="D38" s="7"/>
      <c r="E38" s="7"/>
      <c r="F38" s="7"/>
      <c r="G38" s="7"/>
      <c r="H38" s="8"/>
      <c r="I38" s="8"/>
      <c r="J38" s="8"/>
      <c r="K38" s="8"/>
      <c r="L38" s="8"/>
      <c r="M38" s="8"/>
      <c r="N38" s="8"/>
      <c r="O38" s="8"/>
      <c r="P38" s="8"/>
    </row>
    <row r="39" spans="2:16" s="5" customFormat="1" ht="13.5" thickBo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2:16" s="5" customFormat="1" ht="17.25" thickTop="1" thickBot="1" x14ac:dyDescent="0.25">
      <c r="B40" s="71" t="s">
        <v>135</v>
      </c>
      <c r="C40" s="72"/>
      <c r="D40" s="72"/>
      <c r="E40" s="73"/>
    </row>
    <row r="41" spans="2:16" s="5" customFormat="1" thickTop="1" thickBot="1" x14ac:dyDescent="0.25">
      <c r="B41" s="46" t="s">
        <v>0</v>
      </c>
      <c r="C41" s="46" t="s">
        <v>89</v>
      </c>
      <c r="D41" s="46" t="s">
        <v>11</v>
      </c>
      <c r="E41" s="46" t="s">
        <v>82</v>
      </c>
    </row>
    <row r="42" spans="2:16" s="5" customFormat="1" thickTop="1" thickBot="1" x14ac:dyDescent="0.25">
      <c r="B42" s="6">
        <v>1</v>
      </c>
      <c r="C42" s="6" t="s">
        <v>32</v>
      </c>
      <c r="D42" s="6" t="s">
        <v>28</v>
      </c>
      <c r="E42" s="61">
        <f>ديسمبر!E42+نوفمبر!E42+'اكتوبر '!E42+سبتمبر!E42+اغسطس!E42+يوليو!E42+يونيو!E42+مايو!E42+ابريل!E42+مارس!E42+فبراير!E42+يناير!E42</f>
        <v>5</v>
      </c>
    </row>
    <row r="43" spans="2:16" s="5" customFormat="1" thickTop="1" thickBot="1" x14ac:dyDescent="0.25">
      <c r="B43" s="6">
        <v>2</v>
      </c>
      <c r="C43" s="6" t="s">
        <v>33</v>
      </c>
      <c r="D43" s="6" t="s">
        <v>28</v>
      </c>
      <c r="E43" s="61">
        <f>ديسمبر!E43+نوفمبر!E43+'اكتوبر '!E43+سبتمبر!E43+اغسطس!E43+يوليو!E43+يونيو!E43+مايو!E43+ابريل!E43+مارس!E43+فبراير!E43+يناير!E43</f>
        <v>8</v>
      </c>
    </row>
    <row r="44" spans="2:16" s="5" customFormat="1" thickTop="1" thickBot="1" x14ac:dyDescent="0.25">
      <c r="B44" s="6">
        <v>3</v>
      </c>
      <c r="C44" s="6" t="s">
        <v>34</v>
      </c>
      <c r="D44" s="6" t="s">
        <v>28</v>
      </c>
      <c r="E44" s="61">
        <f>ديسمبر!E44+نوفمبر!E44+'اكتوبر '!E44+سبتمبر!E44+اغسطس!E44+يوليو!E44+يونيو!E44+مايو!E44+ابريل!E44+مارس!E44+فبراير!E44+يناير!E44</f>
        <v>0</v>
      </c>
    </row>
    <row r="45" spans="2:16" s="5" customFormat="1" thickTop="1" thickBot="1" x14ac:dyDescent="0.25">
      <c r="B45" s="6">
        <v>4</v>
      </c>
      <c r="C45" s="6" t="s">
        <v>35</v>
      </c>
      <c r="D45" s="6" t="s">
        <v>28</v>
      </c>
      <c r="E45" s="61">
        <f>ديسمبر!E45+نوفمبر!E45+'اكتوبر '!E45+سبتمبر!E45+اغسطس!E45+يوليو!E45+يونيو!E45+مايو!E45+ابريل!E45+مارس!E45+فبراير!E45+يناير!E45</f>
        <v>0</v>
      </c>
    </row>
    <row r="46" spans="2:16" s="5" customFormat="1" thickTop="1" thickBot="1" x14ac:dyDescent="0.25">
      <c r="B46" s="6">
        <v>5</v>
      </c>
      <c r="C46" s="6" t="s">
        <v>49</v>
      </c>
      <c r="D46" s="6" t="s">
        <v>28</v>
      </c>
      <c r="E46" s="61">
        <f>ديسمبر!E46+نوفمبر!E46+'اكتوبر '!E46+سبتمبر!E46+اغسطس!E46+يوليو!E46+يونيو!E46+مايو!E46+ابريل!E46+مارس!E46+فبراير!E46+يناير!E46</f>
        <v>0</v>
      </c>
    </row>
    <row r="47" spans="2:16" s="5" customFormat="1" ht="27" thickTop="1" thickBot="1" x14ac:dyDescent="0.25">
      <c r="B47" s="6">
        <v>6</v>
      </c>
      <c r="C47" s="9" t="s">
        <v>102</v>
      </c>
      <c r="D47" s="6" t="s">
        <v>28</v>
      </c>
      <c r="E47" s="61">
        <f>ديسمبر!E47+نوفمبر!E47+'اكتوبر '!E47+سبتمبر!E47+اغسطس!E47+يوليو!E47+يونيو!E47+مايو!E47+ابريل!E47+مارس!E47+فبراير!E47+يناير!E47</f>
        <v>20</v>
      </c>
    </row>
    <row r="48" spans="2:16" s="5" customFormat="1" thickTop="1" thickBot="1" x14ac:dyDescent="0.25">
      <c r="B48" s="6">
        <v>7</v>
      </c>
      <c r="C48" s="6" t="s">
        <v>50</v>
      </c>
      <c r="D48" s="6" t="s">
        <v>28</v>
      </c>
      <c r="E48" s="61">
        <f>ديسمبر!E48+نوفمبر!E48+'اكتوبر '!E48+سبتمبر!E48+اغسطس!E48+يوليو!E48+يونيو!E48+مايو!E48+ابريل!E48+مارس!E48+فبراير!E48+يناير!E48</f>
        <v>0</v>
      </c>
    </row>
    <row r="49" spans="2:16" s="5" customFormat="1" ht="27" thickTop="1" thickBot="1" x14ac:dyDescent="0.25">
      <c r="B49" s="6">
        <v>8</v>
      </c>
      <c r="C49" s="9" t="s">
        <v>103</v>
      </c>
      <c r="D49" s="6" t="s">
        <v>28</v>
      </c>
      <c r="E49" s="61">
        <f>ديسمبر!E49+نوفمبر!E49+'اكتوبر '!E49+سبتمبر!E49+اغسطس!E49+يوليو!E49+يونيو!E49+مايو!E49+ابريل!E49+مارس!E49+فبراير!E49+يناير!E49</f>
        <v>0</v>
      </c>
    </row>
    <row r="50" spans="2:16" s="5" customFormat="1" ht="27" thickTop="1" thickBot="1" x14ac:dyDescent="0.25">
      <c r="B50" s="6">
        <v>9</v>
      </c>
      <c r="C50" s="9" t="s">
        <v>104</v>
      </c>
      <c r="D50" s="6" t="s">
        <v>28</v>
      </c>
      <c r="E50" s="61">
        <f>ديسمبر!E50+نوفمبر!E50+'اكتوبر '!E50+سبتمبر!E50+اغسطس!E50+يوليو!E50+يونيو!E50+مايو!E50+ابريل!E50+مارس!E50+فبراير!E50+يناير!E50</f>
        <v>0</v>
      </c>
    </row>
    <row r="51" spans="2:16" s="5" customFormat="1" thickTop="1" thickBot="1" x14ac:dyDescent="0.25">
      <c r="B51" s="6">
        <v>10</v>
      </c>
      <c r="C51" s="9" t="s">
        <v>111</v>
      </c>
      <c r="D51" s="6" t="s">
        <v>28</v>
      </c>
      <c r="E51" s="61">
        <f>ديسمبر!E51+نوفمبر!E51+'اكتوبر '!E51+سبتمبر!E51+اغسطس!E51+يوليو!E51+يونيو!E51+مايو!E51+ابريل!E51+مارس!E51+فبراير!E51+يناير!E51</f>
        <v>0</v>
      </c>
    </row>
    <row r="52" spans="2:16" s="5" customFormat="1" thickTop="1" thickBot="1" x14ac:dyDescent="0.25">
      <c r="B52" s="6">
        <v>11</v>
      </c>
      <c r="C52" s="9" t="s">
        <v>112</v>
      </c>
      <c r="D52" s="6" t="s">
        <v>28</v>
      </c>
      <c r="E52" s="61">
        <f>ديسمبر!E52+نوفمبر!E52+'اكتوبر '!E52+سبتمبر!E52+اغسطس!E52+يوليو!E52+يونيو!E52+مايو!E52+ابريل!E52+مارس!E52+فبراير!E52+يناير!E52</f>
        <v>0</v>
      </c>
    </row>
    <row r="53" spans="2:16" s="5" customFormat="1" thickTop="1" thickBot="1" x14ac:dyDescent="0.25">
      <c r="B53" s="6">
        <v>12</v>
      </c>
      <c r="C53" s="6" t="s">
        <v>51</v>
      </c>
      <c r="D53" s="6" t="s">
        <v>28</v>
      </c>
      <c r="E53" s="61">
        <f>ديسمبر!E53+نوفمبر!E53+'اكتوبر '!E53+سبتمبر!E53+اغسطس!E53+يوليو!E53+يونيو!E53+مايو!E53+ابريل!E53+مارس!E53+فبراير!E53+يناير!E53</f>
        <v>0</v>
      </c>
    </row>
    <row r="54" spans="2:16" s="5" customFormat="1" thickTop="1" thickBot="1" x14ac:dyDescent="0.25">
      <c r="B54" s="74" t="s">
        <v>77</v>
      </c>
      <c r="C54" s="75"/>
      <c r="D54" s="76"/>
      <c r="E54" s="36">
        <f>SUM(E42:E53)</f>
        <v>33</v>
      </c>
    </row>
    <row r="55" spans="2:16" s="5" customFormat="1" thickTop="1" thickBot="1" x14ac:dyDescent="0.25"/>
    <row r="56" spans="2:16" s="5" customFormat="1" thickTop="1" thickBot="1" x14ac:dyDescent="0.25">
      <c r="B56" s="47" t="s">
        <v>0</v>
      </c>
      <c r="C56" s="77" t="s">
        <v>5</v>
      </c>
      <c r="D56" s="78"/>
      <c r="E56" s="78"/>
      <c r="F56" s="78"/>
      <c r="G56" s="79"/>
      <c r="H56" s="7"/>
      <c r="I56" s="7"/>
      <c r="J56" s="7"/>
      <c r="K56" s="7"/>
      <c r="L56" s="70"/>
      <c r="M56" s="70"/>
      <c r="N56" s="70"/>
      <c r="O56" s="70"/>
      <c r="P56" s="70"/>
    </row>
    <row r="57" spans="2:16" s="5" customFormat="1" thickTop="1" thickBot="1" x14ac:dyDescent="0.25">
      <c r="B57" s="6">
        <v>1</v>
      </c>
      <c r="C57" s="67" t="str">
        <f>CONCATENATE(يناير!C57,فبراير!C57,مارس!C57,ابريل!C57,مايو!C57,يونيو!C57,يوليو!C57,اغسطس!C57,سبتمبر!C57,نوفمبر!C57,'اكتوبر '!C57:G57,ديسمبر!C57)</f>
        <v>الامارات - قطرالامارات</v>
      </c>
      <c r="D57" s="68"/>
      <c r="E57" s="68"/>
      <c r="F57" s="68"/>
      <c r="G57" s="69"/>
      <c r="H57" s="7"/>
      <c r="I57" s="7"/>
      <c r="J57" s="7"/>
      <c r="K57" s="7"/>
      <c r="L57" s="70"/>
      <c r="M57" s="70"/>
      <c r="N57" s="70"/>
      <c r="O57" s="70"/>
      <c r="P57" s="70"/>
    </row>
    <row r="58" spans="2:16" s="5" customFormat="1" thickTop="1" thickBot="1" x14ac:dyDescent="0.25">
      <c r="B58" s="6">
        <v>2</v>
      </c>
      <c r="C58" s="67" t="str">
        <f>CONCATENATE(يناير!C58,فبراير!C58,مارس!C58,ابريل!C58,مايو!C58,يونيو!C58,يوليو!C58,اغسطس!C58,سبتمبر!C58,نوفمبر!C58,'اكتوبر '!C58:G58,ديسمبر!C58)</f>
        <v>الامارات  الاماراتالاماراتالاماراتالامارات</v>
      </c>
      <c r="D58" s="68"/>
      <c r="E58" s="68"/>
      <c r="F58" s="68"/>
      <c r="G58" s="69"/>
      <c r="H58" s="7"/>
      <c r="I58" s="7"/>
      <c r="J58" s="7"/>
      <c r="K58" s="7"/>
      <c r="L58" s="70"/>
      <c r="M58" s="70"/>
      <c r="N58" s="70"/>
      <c r="O58" s="70"/>
      <c r="P58" s="70"/>
    </row>
    <row r="59" spans="2:16" s="5" customFormat="1" thickTop="1" thickBot="1" x14ac:dyDescent="0.25">
      <c r="B59" s="6">
        <v>3</v>
      </c>
      <c r="C59" s="67" t="str">
        <f>CONCATENATE(يناير!C59,فبراير!C59,مارس!C59,ابريل!C59,مايو!C59,يونيو!C59,يوليو!C59,اغسطس!C59,سبتمبر!C59,نوفمبر!C59,'اكتوبر '!C59:G59,ديسمبر!C59)</f>
        <v/>
      </c>
      <c r="D59" s="68"/>
      <c r="E59" s="68"/>
      <c r="F59" s="68"/>
      <c r="G59" s="69"/>
      <c r="H59" s="10"/>
      <c r="I59" s="7"/>
      <c r="J59" s="7"/>
      <c r="K59" s="7"/>
      <c r="L59" s="70"/>
      <c r="M59" s="70"/>
      <c r="N59" s="70"/>
      <c r="O59" s="70"/>
      <c r="P59" s="70"/>
    </row>
    <row r="60" spans="2:16" s="5" customFormat="1" thickTop="1" thickBot="1" x14ac:dyDescent="0.25">
      <c r="B60" s="6">
        <v>4</v>
      </c>
      <c r="C60" s="67" t="str">
        <f>CONCATENATE(يناير!C60,فبراير!C60,مارس!C60,ابريل!C60,مايو!C60,يونيو!C60,يوليو!C60,اغسطس!C60,سبتمبر!C60,نوفمبر!C60,'اكتوبر '!C60:G60,ديسمبر!C60)</f>
        <v/>
      </c>
      <c r="D60" s="68"/>
      <c r="E60" s="68"/>
      <c r="F60" s="68"/>
      <c r="G60" s="69"/>
      <c r="H60" s="10"/>
      <c r="I60" s="7"/>
      <c r="J60" s="7"/>
      <c r="K60" s="7"/>
      <c r="L60" s="70"/>
      <c r="M60" s="70"/>
      <c r="N60" s="70"/>
      <c r="O60" s="70"/>
      <c r="P60" s="70"/>
    </row>
    <row r="61" spans="2:16" s="5" customFormat="1" thickTop="1" thickBot="1" x14ac:dyDescent="0.25">
      <c r="B61" s="6">
        <v>5</v>
      </c>
      <c r="C61" s="67" t="str">
        <f>CONCATENATE(يناير!C61,فبراير!C61,مارس!C61,ابريل!C61,مايو!C61,يونيو!C61,يوليو!C61,اغسطس!C61,سبتمبر!C61,نوفمبر!C61,'اكتوبر '!C61:G61,ديسمبر!C61)</f>
        <v/>
      </c>
      <c r="D61" s="68"/>
      <c r="E61" s="68"/>
      <c r="F61" s="68"/>
      <c r="G61" s="69"/>
      <c r="H61" s="10"/>
      <c r="I61" s="7"/>
      <c r="J61" s="7"/>
      <c r="K61" s="7"/>
      <c r="L61" s="70"/>
      <c r="M61" s="70"/>
      <c r="N61" s="70"/>
      <c r="O61" s="70"/>
      <c r="P61" s="70"/>
    </row>
    <row r="62" spans="2:16" s="5" customFormat="1" thickTop="1" thickBot="1" x14ac:dyDescent="0.25">
      <c r="B62" s="6">
        <v>6</v>
      </c>
      <c r="C62" s="67" t="str">
        <f>CONCATENATE(يناير!C62,فبراير!C62,مارس!C62,ابريل!C62,مايو!C62,يونيو!C62,يوليو!C62,اغسطس!C62,سبتمبر!C62,نوفمبر!C62,'اكتوبر '!C62:G62,ديسمبر!C62)</f>
        <v>الامارات(الوبر الصخري)</v>
      </c>
      <c r="D62" s="68"/>
      <c r="E62" s="68"/>
      <c r="F62" s="68"/>
      <c r="G62" s="69"/>
      <c r="H62" s="10"/>
      <c r="I62" s="7"/>
      <c r="J62" s="7"/>
      <c r="K62" s="7"/>
      <c r="L62" s="70"/>
      <c r="M62" s="70"/>
      <c r="N62" s="70"/>
      <c r="O62" s="70"/>
      <c r="P62" s="70"/>
    </row>
    <row r="63" spans="2:16" s="5" customFormat="1" thickTop="1" thickBot="1" x14ac:dyDescent="0.25">
      <c r="B63" s="6">
        <v>7</v>
      </c>
      <c r="C63" s="67" t="str">
        <f>CONCATENATE(يناير!C63,فبراير!C63,مارس!C63,ابريل!C63,مايو!C63,يونيو!C63,يوليو!C63,اغسطس!C63,سبتمبر!C63,نوفمبر!C63,'اكتوبر '!C63:G63,ديسمبر!C63)</f>
        <v/>
      </c>
      <c r="D63" s="68"/>
      <c r="E63" s="68"/>
      <c r="F63" s="68"/>
      <c r="G63" s="69"/>
      <c r="H63" s="10"/>
      <c r="I63" s="7"/>
      <c r="J63" s="7"/>
      <c r="K63" s="7"/>
      <c r="L63" s="70"/>
      <c r="M63" s="70"/>
      <c r="N63" s="70"/>
      <c r="O63" s="70"/>
      <c r="P63" s="70"/>
    </row>
    <row r="64" spans="2:16" s="5" customFormat="1" thickTop="1" thickBot="1" x14ac:dyDescent="0.25">
      <c r="B64" s="6">
        <v>8</v>
      </c>
      <c r="C64" s="67" t="str">
        <f>CONCATENATE(يناير!C64,فبراير!C64,مارس!C64,ابريل!C64,مايو!C64,يونيو!C64,يوليو!C64,اغسطس!C64,سبتمبر!C64,نوفمبر!C64,'اكتوبر '!C64:G64,ديسمبر!C64)</f>
        <v/>
      </c>
      <c r="D64" s="68"/>
      <c r="E64" s="68"/>
      <c r="F64" s="68"/>
      <c r="G64" s="69"/>
      <c r="H64" s="10"/>
      <c r="I64" s="7"/>
      <c r="J64" s="7"/>
      <c r="K64" s="7"/>
      <c r="L64" s="70"/>
      <c r="M64" s="70"/>
      <c r="N64" s="70"/>
      <c r="O64" s="70"/>
      <c r="P64" s="70"/>
    </row>
    <row r="65" spans="2:16" s="5" customFormat="1" thickTop="1" thickBot="1" x14ac:dyDescent="0.25">
      <c r="B65" s="6">
        <v>9</v>
      </c>
      <c r="C65" s="67" t="str">
        <f>CONCATENATE(يناير!C65,فبراير!C65,مارس!C65,ابريل!C65,مايو!C65,يونيو!C65,يوليو!C65,اغسطس!C65,سبتمبر!C65,نوفمبر!C65,'اكتوبر '!C65:G65,ديسمبر!C65)</f>
        <v/>
      </c>
      <c r="D65" s="68"/>
      <c r="E65" s="68"/>
      <c r="F65" s="68"/>
      <c r="G65" s="69"/>
      <c r="H65" s="10"/>
      <c r="I65" s="7"/>
      <c r="J65" s="7"/>
      <c r="K65" s="7"/>
      <c r="L65" s="70"/>
      <c r="M65" s="70"/>
      <c r="N65" s="70"/>
      <c r="O65" s="70"/>
      <c r="P65" s="70"/>
    </row>
    <row r="66" spans="2:16" s="5" customFormat="1" thickTop="1" thickBot="1" x14ac:dyDescent="0.25">
      <c r="B66" s="6">
        <v>10</v>
      </c>
      <c r="C66" s="67" t="str">
        <f>CONCATENATE(يناير!C66,فبراير!C66,مارس!C66,ابريل!C66,مايو!C66,يونيو!C66,يوليو!C66,اغسطس!C66,سبتمبر!C66,نوفمبر!C66,'اكتوبر '!C66:G66,ديسمبر!C66)</f>
        <v/>
      </c>
      <c r="D66" s="68"/>
      <c r="E66" s="68"/>
      <c r="F66" s="68"/>
      <c r="G66" s="69"/>
      <c r="H66" s="7"/>
      <c r="I66" s="7"/>
      <c r="J66" s="7"/>
      <c r="K66" s="7"/>
      <c r="L66" s="7"/>
      <c r="M66" s="7"/>
      <c r="N66" s="7"/>
      <c r="O66" s="7"/>
      <c r="P66" s="7"/>
    </row>
    <row r="67" spans="2:16" s="5" customFormat="1" thickTop="1" thickBot="1" x14ac:dyDescent="0.25">
      <c r="B67" s="6">
        <v>11</v>
      </c>
      <c r="C67" s="67" t="str">
        <f>CONCATENATE(يناير!C67,فبراير!C67,مارس!C67,ابريل!C67,مايو!C67,يونيو!C67,يوليو!C67,اغسطس!C67,سبتمبر!C67,نوفمبر!C67,'اكتوبر '!C67:G67,ديسمبر!C67)</f>
        <v/>
      </c>
      <c r="D67" s="68"/>
      <c r="E67" s="68"/>
      <c r="F67" s="68"/>
      <c r="G67" s="69"/>
      <c r="H67" s="7"/>
      <c r="I67" s="7"/>
      <c r="J67" s="7"/>
      <c r="K67" s="7"/>
      <c r="L67" s="7"/>
      <c r="M67" s="7"/>
      <c r="N67" s="7"/>
      <c r="O67" s="7"/>
      <c r="P67" s="7"/>
    </row>
    <row r="68" spans="2:16" s="5" customFormat="1" thickTop="1" thickBot="1" x14ac:dyDescent="0.25">
      <c r="B68" s="6">
        <v>12</v>
      </c>
      <c r="C68" s="67" t="str">
        <f>CONCATENATE(يناير!C68,فبراير!C68,مارس!C68,ابريل!C68,مايو!C68,يونيو!C68,يوليو!C68,اغسطس!C68,سبتمبر!C68,نوفمبر!C68,'اكتوبر '!C68:G68,ديسمبر!C68)</f>
        <v/>
      </c>
      <c r="D68" s="68"/>
      <c r="E68" s="68"/>
      <c r="F68" s="68"/>
      <c r="G68" s="69"/>
      <c r="H68" s="7"/>
      <c r="I68" s="7"/>
      <c r="J68" s="7"/>
      <c r="K68" s="7"/>
      <c r="L68" s="70"/>
      <c r="M68" s="70"/>
      <c r="N68" s="70"/>
      <c r="O68" s="70"/>
      <c r="P68" s="70"/>
    </row>
    <row r="69" spans="2:16" s="5" customFormat="1" ht="13.5" thickTop="1" x14ac:dyDescent="0.2">
      <c r="B69" s="7"/>
      <c r="C69" s="53"/>
      <c r="D69" s="53"/>
      <c r="E69" s="53"/>
      <c r="F69" s="53"/>
      <c r="G69" s="53"/>
      <c r="H69" s="7"/>
      <c r="I69" s="7"/>
      <c r="J69" s="7"/>
      <c r="K69" s="7"/>
      <c r="L69" s="7"/>
      <c r="M69" s="7"/>
      <c r="N69" s="7"/>
      <c r="O69" s="7"/>
      <c r="P69" s="7"/>
    </row>
    <row r="70" spans="2:16" s="5" customFormat="1" ht="12.75" x14ac:dyDescent="0.2">
      <c r="B70" s="7"/>
      <c r="C70" s="53"/>
      <c r="D70" s="53"/>
      <c r="E70" s="53"/>
      <c r="F70" s="53"/>
      <c r="G70" s="53"/>
      <c r="H70" s="7"/>
      <c r="I70" s="7"/>
      <c r="J70" s="7"/>
      <c r="K70" s="7"/>
      <c r="L70" s="7"/>
      <c r="M70" s="7"/>
      <c r="N70" s="7"/>
      <c r="O70" s="7"/>
      <c r="P70" s="7"/>
    </row>
    <row r="71" spans="2:16" s="5" customFormat="1" ht="13.5" thickBot="1" x14ac:dyDescent="0.25"/>
    <row r="72" spans="2:16" s="5" customFormat="1" ht="21" customHeight="1" thickTop="1" thickBot="1" x14ac:dyDescent="0.25">
      <c r="B72" s="71" t="s">
        <v>136</v>
      </c>
      <c r="C72" s="72"/>
      <c r="D72" s="72"/>
      <c r="E72" s="73"/>
    </row>
    <row r="73" spans="2:16" s="5" customFormat="1" ht="17.25" customHeight="1" thickTop="1" thickBot="1" x14ac:dyDescent="0.25">
      <c r="B73" s="46" t="s">
        <v>0</v>
      </c>
      <c r="C73" s="46" t="s">
        <v>88</v>
      </c>
      <c r="D73" s="46" t="s">
        <v>11</v>
      </c>
      <c r="E73" s="46" t="s">
        <v>82</v>
      </c>
    </row>
    <row r="74" spans="2:16" s="5" customFormat="1" thickTop="1" thickBot="1" x14ac:dyDescent="0.25">
      <c r="B74" s="6">
        <v>1</v>
      </c>
      <c r="C74" s="6" t="s">
        <v>36</v>
      </c>
      <c r="D74" s="6" t="s">
        <v>28</v>
      </c>
      <c r="E74" s="61">
        <f>ديسمبر!E74+نوفمبر!E74+'اكتوبر '!E74+سبتمبر!E74+اغسطس!E74+يوليو!E74+يونيو!E74+مايو!E74+ابريل!E74+مارس!E74+فبراير!E74+يناير!E74</f>
        <v>0</v>
      </c>
    </row>
    <row r="75" spans="2:16" s="5" customFormat="1" ht="27" thickTop="1" thickBot="1" x14ac:dyDescent="0.25">
      <c r="B75" s="6">
        <v>2</v>
      </c>
      <c r="C75" s="9" t="s">
        <v>105</v>
      </c>
      <c r="D75" s="6" t="s">
        <v>28</v>
      </c>
      <c r="E75" s="61">
        <f>ديسمبر!E75+نوفمبر!E75+'اكتوبر '!E75+سبتمبر!E75+اغسطس!E75+يوليو!E75+يونيو!E75+مايو!E75+ابريل!E75+مارس!E75+فبراير!E75+يناير!E75</f>
        <v>0</v>
      </c>
    </row>
    <row r="76" spans="2:16" s="5" customFormat="1" thickTop="1" thickBot="1" x14ac:dyDescent="0.25">
      <c r="B76" s="6">
        <v>3</v>
      </c>
      <c r="C76" s="6" t="s">
        <v>52</v>
      </c>
      <c r="D76" s="6" t="s">
        <v>28</v>
      </c>
      <c r="E76" s="61">
        <f>ديسمبر!E76+نوفمبر!E76+'اكتوبر '!E76+سبتمبر!E76+اغسطس!E76+يوليو!E76+يونيو!E76+مايو!E76+ابريل!E76+مارس!E76+فبراير!E76+يناير!E76</f>
        <v>0</v>
      </c>
    </row>
    <row r="77" spans="2:16" s="5" customFormat="1" thickTop="1" thickBot="1" x14ac:dyDescent="0.25">
      <c r="B77" s="6">
        <v>4</v>
      </c>
      <c r="C77" s="6" t="s">
        <v>37</v>
      </c>
      <c r="D77" s="6" t="s">
        <v>53</v>
      </c>
      <c r="E77" s="61">
        <f>ديسمبر!E77+نوفمبر!E77+'اكتوبر '!E77+سبتمبر!E77+اغسطس!E77+يوليو!E77+يونيو!E77+مايو!E77+ابريل!E77+مارس!E77+فبراير!E77+يناير!E77</f>
        <v>0</v>
      </c>
    </row>
    <row r="78" spans="2:16" s="5" customFormat="1" thickTop="1" thickBot="1" x14ac:dyDescent="0.25">
      <c r="B78" s="6">
        <v>5</v>
      </c>
      <c r="C78" s="6" t="s">
        <v>106</v>
      </c>
      <c r="D78" s="6" t="s">
        <v>28</v>
      </c>
      <c r="E78" s="61">
        <f>ديسمبر!E78+نوفمبر!E78+'اكتوبر '!E78+سبتمبر!E78+اغسطس!E78+يوليو!E78+يونيو!E78+مايو!E78+ابريل!E78+مارس!E78+فبراير!E78+يناير!E78</f>
        <v>0</v>
      </c>
    </row>
    <row r="79" spans="2:16" s="5" customFormat="1" thickTop="1" thickBot="1" x14ac:dyDescent="0.25">
      <c r="B79" s="6">
        <v>6</v>
      </c>
      <c r="C79" s="6" t="s">
        <v>107</v>
      </c>
      <c r="D79" s="6" t="s">
        <v>28</v>
      </c>
      <c r="E79" s="61">
        <f>ديسمبر!E79+نوفمبر!E79+'اكتوبر '!E79+سبتمبر!E79+اغسطس!E79+يوليو!E79+يونيو!E79+مايو!E79+ابريل!E79+مارس!E79+فبراير!E79+يناير!E79</f>
        <v>0</v>
      </c>
    </row>
    <row r="80" spans="2:16" s="5" customFormat="1" thickTop="1" thickBot="1" x14ac:dyDescent="0.25">
      <c r="B80" s="6">
        <v>7</v>
      </c>
      <c r="C80" s="6" t="s">
        <v>108</v>
      </c>
      <c r="D80" s="6" t="s">
        <v>28</v>
      </c>
      <c r="E80" s="61">
        <f>ديسمبر!E80+نوفمبر!E80+'اكتوبر '!E80+سبتمبر!E80+اغسطس!E80+يوليو!E80+يونيو!E80+مايو!E80+ابريل!E80+مارس!E80+فبراير!E80+يناير!E80</f>
        <v>0</v>
      </c>
    </row>
    <row r="81" spans="2:16" s="5" customFormat="1" thickTop="1" thickBot="1" x14ac:dyDescent="0.25">
      <c r="B81" s="6">
        <v>8</v>
      </c>
      <c r="C81" s="6" t="s">
        <v>38</v>
      </c>
      <c r="D81" s="6" t="s">
        <v>28</v>
      </c>
      <c r="E81" s="61">
        <f>ديسمبر!E81+نوفمبر!E81+'اكتوبر '!E81+سبتمبر!E81+اغسطس!E81+يوليو!E81+يونيو!E81+مايو!E81+ابريل!E81+مارس!E81+فبراير!E81+يناير!E81</f>
        <v>0</v>
      </c>
    </row>
    <row r="82" spans="2:16" s="5" customFormat="1" thickTop="1" thickBot="1" x14ac:dyDescent="0.25">
      <c r="B82" s="6">
        <v>9</v>
      </c>
      <c r="C82" s="6" t="s">
        <v>110</v>
      </c>
      <c r="D82" s="6" t="s">
        <v>28</v>
      </c>
      <c r="E82" s="61">
        <f>ديسمبر!E82+نوفمبر!E82+'اكتوبر '!E82+سبتمبر!E82+اغسطس!E82+يوليو!E82+يونيو!E82+مايو!E82+ابريل!E82+مارس!E82+فبراير!E82+يناير!E82</f>
        <v>0</v>
      </c>
    </row>
    <row r="83" spans="2:16" s="5" customFormat="1" thickTop="1" thickBot="1" x14ac:dyDescent="0.25">
      <c r="B83" s="6">
        <v>10</v>
      </c>
      <c r="C83" s="6" t="s">
        <v>129</v>
      </c>
      <c r="D83" s="6" t="s">
        <v>28</v>
      </c>
      <c r="E83" s="61">
        <f>ديسمبر!E83+نوفمبر!E83+'اكتوبر '!E83+سبتمبر!E83+اغسطس!E83+يوليو!E83+يونيو!E83+مايو!E84+ابريل!E83+مارس!E83+فبراير!E83+يناير!E83</f>
        <v>0</v>
      </c>
    </row>
    <row r="84" spans="2:16" s="5" customFormat="1" thickTop="1" thickBot="1" x14ac:dyDescent="0.25">
      <c r="B84" s="6">
        <v>11</v>
      </c>
      <c r="C84" s="6" t="s">
        <v>109</v>
      </c>
      <c r="D84" s="6" t="s">
        <v>28</v>
      </c>
      <c r="E84" s="61">
        <f>ديسمبر!E84+نوفمبر!E84+'اكتوبر '!E84+سبتمبر!E84+اغسطس!E84+يوليو!E84+يونيو!E84+مايو!E85+ابريل!E84+مارس!E84+فبراير!E84+يناير!E84</f>
        <v>0</v>
      </c>
    </row>
    <row r="85" spans="2:16" s="5" customFormat="1" thickTop="1" thickBot="1" x14ac:dyDescent="0.25">
      <c r="B85" s="74" t="s">
        <v>77</v>
      </c>
      <c r="C85" s="75"/>
      <c r="D85" s="76"/>
      <c r="E85" s="36">
        <f>SUM(E74:E84)</f>
        <v>0</v>
      </c>
    </row>
    <row r="86" spans="2:16" s="5" customFormat="1" thickTop="1" thickBot="1" x14ac:dyDescent="0.25"/>
    <row r="87" spans="2:16" s="5" customFormat="1" thickTop="1" thickBot="1" x14ac:dyDescent="0.25">
      <c r="B87" s="47" t="s">
        <v>0</v>
      </c>
      <c r="C87" s="77" t="s">
        <v>5</v>
      </c>
      <c r="D87" s="78"/>
      <c r="E87" s="78"/>
      <c r="F87" s="78"/>
      <c r="G87" s="79"/>
      <c r="H87" s="7"/>
      <c r="I87" s="7"/>
      <c r="J87" s="7"/>
      <c r="K87" s="7"/>
      <c r="L87" s="70"/>
      <c r="M87" s="70"/>
      <c r="N87" s="70"/>
      <c r="O87" s="70"/>
      <c r="P87" s="70"/>
    </row>
    <row r="88" spans="2:16" s="5" customFormat="1" thickTop="1" thickBot="1" x14ac:dyDescent="0.25">
      <c r="B88" s="6">
        <v>1</v>
      </c>
      <c r="C88" s="67" t="str">
        <f>CONCATENATE(يناير!C88,فبراير!C88,مارس!C88,ابريل!C88,مايو!C88,يونيو!C88,يوليو!C88,اغسطس!C88,سبتمبر!C88,نوفمبر!C88,'اكتوبر '!C88:G88,ديسمبر!C88)</f>
        <v/>
      </c>
      <c r="D88" s="68"/>
      <c r="E88" s="68"/>
      <c r="F88" s="68"/>
      <c r="G88" s="69"/>
      <c r="H88" s="7"/>
      <c r="I88" s="7"/>
      <c r="J88" s="7"/>
      <c r="K88" s="7"/>
      <c r="L88" s="70"/>
      <c r="M88" s="70"/>
      <c r="N88" s="70"/>
      <c r="O88" s="70"/>
      <c r="P88" s="70"/>
    </row>
    <row r="89" spans="2:16" s="5" customFormat="1" thickTop="1" thickBot="1" x14ac:dyDescent="0.25">
      <c r="B89" s="6">
        <v>2</v>
      </c>
      <c r="C89" s="67" t="str">
        <f>CONCATENATE(يناير!C89,فبراير!C89,مارس!C89,ابريل!C89,مايو!C89,يونيو!C89,يوليو!C89,اغسطس!C89,سبتمبر!C89,نوفمبر!C89,'اكتوبر '!C89:G89,ديسمبر!C89)</f>
        <v/>
      </c>
      <c r="D89" s="68"/>
      <c r="E89" s="68"/>
      <c r="F89" s="68"/>
      <c r="G89" s="69"/>
      <c r="H89" s="10"/>
      <c r="I89" s="7"/>
      <c r="J89" s="7"/>
      <c r="K89" s="7"/>
      <c r="L89" s="70"/>
      <c r="M89" s="70"/>
      <c r="N89" s="70"/>
      <c r="O89" s="70"/>
      <c r="P89" s="70"/>
    </row>
    <row r="90" spans="2:16" s="5" customFormat="1" thickTop="1" thickBot="1" x14ac:dyDescent="0.25">
      <c r="B90" s="6">
        <v>3</v>
      </c>
      <c r="C90" s="67" t="str">
        <f>CONCATENATE(يناير!C90,فبراير!C90,مارس!C90,ابريل!C90,مايو!C90,يونيو!C90,يوليو!C90,اغسطس!C90,سبتمبر!C90,نوفمبر!C90,'اكتوبر '!C90:G90,ديسمبر!C90)</f>
        <v/>
      </c>
      <c r="D90" s="68"/>
      <c r="E90" s="68"/>
      <c r="F90" s="68"/>
      <c r="G90" s="69"/>
      <c r="H90" s="10"/>
      <c r="I90" s="7"/>
      <c r="J90" s="7"/>
      <c r="K90" s="7"/>
      <c r="L90" s="70"/>
      <c r="M90" s="70"/>
      <c r="N90" s="70"/>
      <c r="O90" s="70"/>
      <c r="P90" s="70"/>
    </row>
    <row r="91" spans="2:16" s="5" customFormat="1" thickTop="1" thickBot="1" x14ac:dyDescent="0.25">
      <c r="B91" s="6">
        <v>4</v>
      </c>
      <c r="C91" s="67" t="str">
        <f>CONCATENATE(يناير!C91,فبراير!C91,مارس!C91,ابريل!C91,مايو!C91,يونيو!C91,يوليو!C91,اغسطس!C91,سبتمبر!C91,نوفمبر!C91,'اكتوبر '!C91:G91,ديسمبر!C91)</f>
        <v/>
      </c>
      <c r="D91" s="68"/>
      <c r="E91" s="68"/>
      <c r="F91" s="68"/>
      <c r="G91" s="69"/>
      <c r="H91" s="7"/>
      <c r="I91" s="7"/>
      <c r="J91" s="7"/>
      <c r="K91" s="7"/>
      <c r="L91" s="70"/>
      <c r="M91" s="70"/>
      <c r="N91" s="70"/>
      <c r="O91" s="70"/>
      <c r="P91" s="70"/>
    </row>
    <row r="92" spans="2:16" s="5" customFormat="1" thickTop="1" thickBot="1" x14ac:dyDescent="0.25">
      <c r="B92" s="6">
        <v>5</v>
      </c>
      <c r="C92" s="67" t="str">
        <f>CONCATENATE(يناير!C92,فبراير!C92,مارس!C92,ابريل!C92,مايو!C92,يونيو!C92,يوليو!C92,اغسطس!C92,سبتمبر!C92,نوفمبر!C92,'اكتوبر '!C92:G92,ديسمبر!C92)</f>
        <v/>
      </c>
      <c r="D92" s="68"/>
      <c r="E92" s="68"/>
      <c r="F92" s="68"/>
      <c r="G92" s="69"/>
      <c r="H92" s="7"/>
      <c r="I92" s="7"/>
      <c r="J92" s="7"/>
      <c r="K92" s="7"/>
      <c r="L92" s="70"/>
      <c r="M92" s="70"/>
      <c r="N92" s="70"/>
      <c r="O92" s="70"/>
      <c r="P92" s="70"/>
    </row>
    <row r="93" spans="2:16" s="5" customFormat="1" thickTop="1" thickBot="1" x14ac:dyDescent="0.25">
      <c r="B93" s="6">
        <v>6</v>
      </c>
      <c r="C93" s="67" t="str">
        <f>CONCATENATE(يناير!C93,فبراير!C93,مارس!C93,ابريل!C93,مايو!C93,يونيو!C93,يوليو!C93,اغسطس!C93,سبتمبر!C93,نوفمبر!C93,'اكتوبر '!C93:G93,ديسمبر!C93)</f>
        <v/>
      </c>
      <c r="D93" s="68"/>
      <c r="E93" s="68"/>
      <c r="F93" s="68"/>
      <c r="G93" s="69"/>
      <c r="H93" s="7"/>
      <c r="I93" s="7"/>
      <c r="J93" s="7"/>
      <c r="K93" s="7"/>
      <c r="L93" s="70"/>
      <c r="M93" s="70"/>
      <c r="N93" s="70"/>
      <c r="O93" s="70"/>
      <c r="P93" s="70"/>
    </row>
    <row r="94" spans="2:16" s="5" customFormat="1" thickTop="1" thickBot="1" x14ac:dyDescent="0.25">
      <c r="B94" s="6">
        <v>7</v>
      </c>
      <c r="C94" s="67" t="str">
        <f>CONCATENATE(يناير!C94,فبراير!C94,مارس!C94,ابريل!C94,مايو!C94,يونيو!C94,يوليو!C94,اغسطس!C94,سبتمبر!C94,نوفمبر!C94,'اكتوبر '!C94:G94,ديسمبر!C94)</f>
        <v/>
      </c>
      <c r="D94" s="68"/>
      <c r="E94" s="68"/>
      <c r="F94" s="68"/>
      <c r="G94" s="69"/>
      <c r="H94" s="7"/>
      <c r="I94" s="7"/>
      <c r="J94" s="7"/>
      <c r="K94" s="7"/>
      <c r="L94" s="70"/>
      <c r="M94" s="70"/>
      <c r="N94" s="70"/>
      <c r="O94" s="70"/>
      <c r="P94" s="70"/>
    </row>
    <row r="95" spans="2:16" s="5" customFormat="1" thickTop="1" thickBot="1" x14ac:dyDescent="0.25">
      <c r="B95" s="6">
        <v>8</v>
      </c>
      <c r="C95" s="67" t="str">
        <f>CONCATENATE(يناير!C95,فبراير!C95,مارس!C95,ابريل!C95,مايو!C95,يونيو!C95,يوليو!C95,اغسطس!C95,سبتمبر!C95,نوفمبر!C95,'اكتوبر '!C95:G95,ديسمبر!C95)</f>
        <v/>
      </c>
      <c r="D95" s="68"/>
      <c r="E95" s="68"/>
      <c r="F95" s="68"/>
      <c r="G95" s="69"/>
      <c r="H95" s="7"/>
      <c r="I95" s="7"/>
      <c r="J95" s="7"/>
      <c r="K95" s="7"/>
      <c r="L95" s="70"/>
      <c r="M95" s="70"/>
      <c r="N95" s="70"/>
      <c r="O95" s="70"/>
      <c r="P95" s="70"/>
    </row>
    <row r="96" spans="2:16" s="5" customFormat="1" thickTop="1" thickBot="1" x14ac:dyDescent="0.25">
      <c r="B96" s="6">
        <v>9</v>
      </c>
      <c r="C96" s="67" t="str">
        <f>CONCATENATE(يناير!C96,فبراير!C96,مارس!C96,ابريل!C96,مايو!C96,يونيو!C96,يوليو!C96,اغسطس!C96,سبتمبر!C96,نوفمبر!C96,'اكتوبر '!C96:G96,ديسمبر!C96)</f>
        <v/>
      </c>
      <c r="D96" s="68"/>
      <c r="E96" s="68"/>
      <c r="F96" s="68"/>
      <c r="G96" s="69"/>
      <c r="H96" s="7"/>
      <c r="I96" s="7"/>
      <c r="J96" s="7"/>
      <c r="K96" s="7"/>
      <c r="L96" s="70"/>
      <c r="M96" s="70"/>
      <c r="N96" s="70"/>
      <c r="O96" s="70"/>
      <c r="P96" s="70"/>
    </row>
    <row r="97" spans="2:16" s="5" customFormat="1" ht="16.5" customHeight="1" thickTop="1" thickBot="1" x14ac:dyDescent="0.25">
      <c r="B97" s="6">
        <v>10</v>
      </c>
      <c r="C97" s="67" t="str">
        <f>CONCATENATE(يناير!C97,فبراير!C97,مارس!C97,ابريل!C97,مايو!C97,يونيو!C97,يوليو!C97,اغسطس!C97,سبتمبر!C97,نوفمبر!C97,'اكتوبر '!C97:G97,ديسمبر!C97)</f>
        <v/>
      </c>
      <c r="D97" s="68"/>
      <c r="E97" s="68"/>
      <c r="F97" s="68"/>
      <c r="G97" s="69"/>
      <c r="H97" s="7"/>
      <c r="I97" s="7"/>
      <c r="J97" s="7"/>
      <c r="K97" s="7"/>
      <c r="L97" s="7"/>
      <c r="M97" s="7"/>
      <c r="N97" s="7"/>
      <c r="O97" s="7"/>
      <c r="P97" s="7"/>
    </row>
    <row r="98" spans="2:16" s="5" customFormat="1" ht="19.5" customHeight="1" thickTop="1" thickBot="1" x14ac:dyDescent="0.25">
      <c r="B98" s="6">
        <v>11</v>
      </c>
      <c r="C98" s="67" t="str">
        <f>CONCATENATE(يناير!C98,فبراير!C98,مارس!C98,ابريل!C98,مايو!C98,يونيو!C98,يوليو!C98,اغسطس!C98,سبتمبر!C98,نوفمبر!C98,'اكتوبر '!C98:G98,ديسمبر!C98)</f>
        <v/>
      </c>
      <c r="D98" s="68"/>
      <c r="E98" s="68"/>
      <c r="F98" s="68"/>
      <c r="G98" s="69"/>
      <c r="H98" s="7"/>
      <c r="I98" s="7"/>
      <c r="J98" s="7"/>
      <c r="K98" s="7"/>
      <c r="L98" s="70"/>
      <c r="M98" s="70"/>
      <c r="N98" s="70"/>
      <c r="O98" s="70"/>
      <c r="P98" s="70"/>
    </row>
    <row r="99" spans="2:16" s="5" customFormat="1" ht="19.5" customHeight="1" thickTop="1" x14ac:dyDescent="0.2">
      <c r="B99" s="7"/>
      <c r="C99" s="53"/>
      <c r="D99" s="53"/>
      <c r="E99" s="53"/>
      <c r="F99" s="53"/>
      <c r="G99" s="53"/>
      <c r="H99" s="7"/>
      <c r="I99" s="7"/>
      <c r="J99" s="7"/>
      <c r="K99" s="7"/>
      <c r="L99" s="7"/>
      <c r="M99" s="7"/>
      <c r="N99" s="7"/>
      <c r="O99" s="7"/>
      <c r="P99" s="7"/>
    </row>
    <row r="100" spans="2:16" s="5" customFormat="1" ht="12.75" x14ac:dyDescent="0.2"/>
    <row r="101" spans="2:16" s="5" customFormat="1" ht="13.5" thickBot="1" x14ac:dyDescent="0.25"/>
    <row r="102" spans="2:16" s="5" customFormat="1" ht="19.5" customHeight="1" thickTop="1" thickBot="1" x14ac:dyDescent="0.25">
      <c r="B102" s="71" t="s">
        <v>137</v>
      </c>
      <c r="C102" s="72"/>
      <c r="D102" s="72"/>
      <c r="E102" s="72"/>
      <c r="F102" s="73"/>
      <c r="G102" s="8"/>
    </row>
    <row r="103" spans="2:16" s="5" customFormat="1" thickTop="1" thickBot="1" x14ac:dyDescent="0.25">
      <c r="B103" s="46" t="s">
        <v>0</v>
      </c>
      <c r="C103" s="46" t="s">
        <v>44</v>
      </c>
      <c r="D103" s="46" t="s">
        <v>1</v>
      </c>
      <c r="E103" s="46" t="s">
        <v>83</v>
      </c>
      <c r="F103" s="46" t="s">
        <v>84</v>
      </c>
      <c r="G103" s="7"/>
    </row>
    <row r="104" spans="2:16" s="5" customFormat="1" thickTop="1" thickBot="1" x14ac:dyDescent="0.25">
      <c r="B104" s="6">
        <v>1</v>
      </c>
      <c r="C104" s="24" t="s">
        <v>56</v>
      </c>
      <c r="D104" s="6" t="s">
        <v>3</v>
      </c>
      <c r="E104" s="61">
        <f>ديسمبر!E104+نوفمبر!E104+'اكتوبر '!E104+سبتمبر!E104+اغسطس!E104+يوليو!E104+يونيو!E104+مايو!E104+ابريل!E104+مارس!E104+فبراير!E104+يناير!E104</f>
        <v>1139604.1000000001</v>
      </c>
      <c r="F104" s="11">
        <f t="shared" ref="F104:F115" si="0">E104/1000</f>
        <v>1139.6041</v>
      </c>
      <c r="G104" s="7"/>
    </row>
    <row r="105" spans="2:16" s="5" customFormat="1" ht="27" thickTop="1" thickBot="1" x14ac:dyDescent="0.25">
      <c r="B105" s="6">
        <v>2</v>
      </c>
      <c r="C105" s="12" t="s">
        <v>97</v>
      </c>
      <c r="D105" s="6" t="s">
        <v>3</v>
      </c>
      <c r="E105" s="61">
        <f>ديسمبر!E105+نوفمبر!E105+'اكتوبر '!E105+سبتمبر!E105+اغسطس!E105+يوليو!E105+يونيو!E105+مايو!E105+ابريل!E105+مارس!E105+فبراير!E105+يناير!E105</f>
        <v>106579.08</v>
      </c>
      <c r="F105" s="11">
        <f t="shared" si="0"/>
        <v>106.57908</v>
      </c>
      <c r="G105" s="7"/>
    </row>
    <row r="106" spans="2:16" s="5" customFormat="1" thickTop="1" thickBot="1" x14ac:dyDescent="0.25">
      <c r="B106" s="6">
        <v>3</v>
      </c>
      <c r="C106" s="12" t="s">
        <v>99</v>
      </c>
      <c r="D106" s="6" t="s">
        <v>3</v>
      </c>
      <c r="E106" s="61">
        <f>ديسمبر!E106+نوفمبر!E106+'اكتوبر '!E106+سبتمبر!E106+اغسطس!E106+يوليو!E106+يونيو!E106+مايو!E106+ابريل!E106+مارس!E106+فبراير!E106+يناير!E106</f>
        <v>0</v>
      </c>
      <c r="F106" s="11">
        <f t="shared" si="0"/>
        <v>0</v>
      </c>
      <c r="G106" s="7"/>
    </row>
    <row r="107" spans="2:16" s="5" customFormat="1" thickTop="1" thickBot="1" x14ac:dyDescent="0.25">
      <c r="B107" s="6">
        <v>4</v>
      </c>
      <c r="C107" s="24" t="s">
        <v>2</v>
      </c>
      <c r="D107" s="6" t="s">
        <v>3</v>
      </c>
      <c r="E107" s="61">
        <f>ديسمبر!E107+نوفمبر!E107+'اكتوبر '!E107+سبتمبر!E107+اغسطس!E107+يوليو!E107+يونيو!E107+مايو!E107+ابريل!E107+مارس!E107+فبراير!E107+يناير!E107</f>
        <v>374076.891</v>
      </c>
      <c r="F107" s="11">
        <f t="shared" si="0"/>
        <v>374.07689099999999</v>
      </c>
      <c r="G107" s="13"/>
    </row>
    <row r="108" spans="2:16" s="5" customFormat="1" thickTop="1" thickBot="1" x14ac:dyDescent="0.25">
      <c r="B108" s="6">
        <v>5</v>
      </c>
      <c r="C108" s="24" t="s">
        <v>54</v>
      </c>
      <c r="D108" s="6" t="s">
        <v>3</v>
      </c>
      <c r="E108" s="61">
        <f>ديسمبر!E108+نوفمبر!E108+'اكتوبر '!E108+سبتمبر!E108+اغسطس!E108+يوليو!E108+يونيو!E108+مايو!E108+ابريل!E108+مارس!E108+فبراير!E108+يناير!E108</f>
        <v>601878.47</v>
      </c>
      <c r="F108" s="11">
        <f t="shared" si="0"/>
        <v>601.87846999999999</v>
      </c>
      <c r="G108" s="13"/>
    </row>
    <row r="109" spans="2:16" s="5" customFormat="1" ht="39.75" thickTop="1" thickBot="1" x14ac:dyDescent="0.25">
      <c r="B109" s="6">
        <v>6</v>
      </c>
      <c r="C109" s="12" t="s">
        <v>93</v>
      </c>
      <c r="D109" s="6" t="s">
        <v>3</v>
      </c>
      <c r="E109" s="61">
        <f>ديسمبر!E109+نوفمبر!E109+'اكتوبر '!E109+سبتمبر!E109+اغسطس!E109+يوليو!E109+يونيو!E109+مايو!E109+ابريل!E109+مارس!E109+فبراير!E109+يناير!E109</f>
        <v>137001.60000000001</v>
      </c>
      <c r="F109" s="11">
        <f t="shared" si="0"/>
        <v>137.0016</v>
      </c>
      <c r="G109" s="13"/>
    </row>
    <row r="110" spans="2:16" s="5" customFormat="1" thickTop="1" thickBot="1" x14ac:dyDescent="0.25">
      <c r="B110" s="6">
        <v>7</v>
      </c>
      <c r="C110" s="24" t="s">
        <v>4</v>
      </c>
      <c r="D110" s="6" t="s">
        <v>3</v>
      </c>
      <c r="E110" s="61">
        <f>ديسمبر!E110+نوفمبر!E110+'اكتوبر '!E110+سبتمبر!E110+اغسطس!E110+يوليو!E110+يونيو!E110+مايو!E110+ابريل!E110+مارس!E110+فبراير!E110+يناير!E110</f>
        <v>0</v>
      </c>
      <c r="F110" s="11">
        <f t="shared" si="0"/>
        <v>0</v>
      </c>
      <c r="G110" s="13"/>
    </row>
    <row r="111" spans="2:16" s="5" customFormat="1" thickTop="1" thickBot="1" x14ac:dyDescent="0.25">
      <c r="B111" s="6">
        <v>8</v>
      </c>
      <c r="C111" s="24" t="s">
        <v>55</v>
      </c>
      <c r="D111" s="6" t="s">
        <v>3</v>
      </c>
      <c r="E111" s="61">
        <f>ديسمبر!E111+نوفمبر!E111+'اكتوبر '!E111+سبتمبر!E111+اغسطس!E111+يوليو!E111+يونيو!E111+مايو!E111+ابريل!E111+مارس!E111+فبراير!E111+يناير!E111</f>
        <v>0</v>
      </c>
      <c r="F111" s="11">
        <f t="shared" si="0"/>
        <v>0</v>
      </c>
      <c r="G111" s="13"/>
    </row>
    <row r="112" spans="2:16" s="5" customFormat="1" ht="27" thickTop="1" thickBot="1" x14ac:dyDescent="0.25">
      <c r="B112" s="6">
        <v>9</v>
      </c>
      <c r="C112" s="12" t="s">
        <v>94</v>
      </c>
      <c r="D112" s="6" t="s">
        <v>3</v>
      </c>
      <c r="E112" s="61">
        <f>ديسمبر!E112+نوفمبر!E112+'اكتوبر '!E112+سبتمبر!E112+اغسطس!E112+يوليو!E112+يونيو!E112+مايو!E112+ابريل!E112+مارس!E112+فبراير!E112+يناير!E112</f>
        <v>3433493.9019999998</v>
      </c>
      <c r="F112" s="11">
        <f t="shared" si="0"/>
        <v>3433.4939019999997</v>
      </c>
      <c r="G112" s="13"/>
    </row>
    <row r="113" spans="2:16" s="5" customFormat="1" ht="27" thickTop="1" thickBot="1" x14ac:dyDescent="0.25">
      <c r="B113" s="6">
        <v>10</v>
      </c>
      <c r="C113" s="12" t="s">
        <v>95</v>
      </c>
      <c r="D113" s="6" t="s">
        <v>3</v>
      </c>
      <c r="E113" s="61">
        <f>ديسمبر!E113+نوفمبر!E113+'اكتوبر '!E113+سبتمبر!E113+اغسطس!E113+يوليو!E113+يونيو!E113+مايو!E113+ابريل!E113+مارس!E113+فبراير!E113+يناير!E113</f>
        <v>18609.64</v>
      </c>
      <c r="F113" s="11">
        <f t="shared" si="0"/>
        <v>18.609639999999999</v>
      </c>
      <c r="G113" s="13"/>
    </row>
    <row r="114" spans="2:16" s="5" customFormat="1" thickTop="1" thickBot="1" x14ac:dyDescent="0.25">
      <c r="B114" s="6">
        <v>11</v>
      </c>
      <c r="C114" s="24" t="s">
        <v>96</v>
      </c>
      <c r="D114" s="6" t="s">
        <v>3</v>
      </c>
      <c r="E114" s="61">
        <f>ديسمبر!E114+نوفمبر!E114+'اكتوبر '!E114+سبتمبر!E114+اغسطس!E114+يوليو!E114+يونيو!E114+مايو!E114+ابريل!E114+مارس!E114+فبراير!E114+يناير!E114</f>
        <v>0</v>
      </c>
      <c r="F114" s="11">
        <f t="shared" si="0"/>
        <v>0</v>
      </c>
      <c r="G114" s="13"/>
    </row>
    <row r="115" spans="2:16" s="5" customFormat="1" thickTop="1" thickBot="1" x14ac:dyDescent="0.25">
      <c r="B115" s="6">
        <v>12</v>
      </c>
      <c r="C115" s="12" t="s">
        <v>98</v>
      </c>
      <c r="D115" s="6" t="s">
        <v>3</v>
      </c>
      <c r="E115" s="61">
        <f>ديسمبر!E115+نوفمبر!E115+'اكتوبر '!E115+سبتمبر!E115+اغسطس!E115+يوليو!E115+يونيو!E115+مايو!E115+ابريل!E115+مارس!E115+فبراير!E115+يناير!E115</f>
        <v>50</v>
      </c>
      <c r="F115" s="11">
        <f t="shared" si="0"/>
        <v>0.05</v>
      </c>
      <c r="G115" s="13"/>
    </row>
    <row r="116" spans="2:16" s="5" customFormat="1" thickTop="1" thickBot="1" x14ac:dyDescent="0.25">
      <c r="B116" s="84" t="s">
        <v>80</v>
      </c>
      <c r="C116" s="84"/>
      <c r="D116" s="84"/>
      <c r="E116" s="36">
        <f>SUM(E104:E115)</f>
        <v>5811293.6829999993</v>
      </c>
      <c r="F116" s="37">
        <f>SUM(F104:F115)</f>
        <v>5811.2936829999999</v>
      </c>
      <c r="G116" s="13"/>
    </row>
    <row r="117" spans="2:16" s="5" customFormat="1" thickTop="1" thickBot="1" x14ac:dyDescent="0.25">
      <c r="C117" s="5" t="s">
        <v>72</v>
      </c>
    </row>
    <row r="118" spans="2:16" s="5" customFormat="1" thickTop="1" thickBot="1" x14ac:dyDescent="0.25">
      <c r="B118" s="47" t="s">
        <v>0</v>
      </c>
      <c r="C118" s="77" t="s">
        <v>5</v>
      </c>
      <c r="D118" s="78"/>
      <c r="E118" s="78"/>
      <c r="F118" s="78"/>
      <c r="G118" s="79"/>
      <c r="H118" s="7"/>
      <c r="I118" s="7"/>
      <c r="J118" s="7"/>
      <c r="K118" s="7"/>
      <c r="L118" s="70"/>
      <c r="M118" s="70"/>
      <c r="N118" s="70"/>
      <c r="O118" s="70"/>
      <c r="P118" s="70"/>
    </row>
    <row r="119" spans="2:16" s="5" customFormat="1" ht="16.5" customHeight="1" thickTop="1" thickBot="1" x14ac:dyDescent="0.25">
      <c r="B119" s="6">
        <v>1</v>
      </c>
      <c r="C119" s="67" t="str">
        <f>CONCATENATE(يناير!C119,فبراير!C119,مارس!C119,ابريل!C119,مايو!C119,يونيو!C119,يوليو!C119,اغسطس!C119,سبتمبر!C119,نوفمبر!C119,'اكتوبر '!C119:G119,ديسمبر!C119)</f>
        <v>الامارات - اسبانيا - النرويج - الهند - اندونسيا - عمان - اوغندا - تركيا - نيوزيلاندافرنسا/الهند/الصين/عمان/ميانمار/فيتنام/النرويج/بلغاريا/يوغندا/نيوزيلاند/انونيسيا/ايسلند/باكستان/الاماراتالامارات/اسبانيا/النرويج/الهند/اندونيسيا/فيتنام/اوغندا/باكستان/نيوزيلاند/اليابان/الصين/روسياالامارات-الهند-اسبانيا-اوغندا-الامارات-ايسلندا-باكستان-تايوان-عمان-تركيا-تشيلي-روسيا-فيتنام-نيوزلندا-هولنداالامارات - فيتنام - النرويج – الهند- اندونيسيا - عمان –اوغندا -الصين– باكستان- ايسلندا- اسبانيا-استراليا-جزر فارو-ايطاليا-تايوان</v>
      </c>
      <c r="D119" s="68"/>
      <c r="E119" s="68"/>
      <c r="F119" s="68"/>
      <c r="G119" s="69"/>
      <c r="H119" s="7"/>
      <c r="I119" s="7"/>
      <c r="J119" s="7"/>
      <c r="K119" s="7"/>
      <c r="L119" s="70"/>
      <c r="M119" s="70"/>
      <c r="N119" s="70"/>
      <c r="O119" s="70"/>
      <c r="P119" s="70"/>
    </row>
    <row r="120" spans="2:16" s="5" customFormat="1" thickTop="1" thickBot="1" x14ac:dyDescent="0.25">
      <c r="B120" s="6">
        <v>2</v>
      </c>
      <c r="C120" s="67" t="str">
        <f>CONCATENATE(يناير!C120,فبراير!C120,مارس!C120,ابريل!C120,مايو!C120,يونيو!C120,يوليو!C120,اغسطس!C120,سبتمبر!C120,نوفمبر!C120,'اكتوبر '!C120:G120,ديسمبر!C120)</f>
        <v>الامارات - فيتنام - النرويج - اليونان - اندونيسياالاماراتالامارات – فيتنام – أستراليا-هولندا-امريكا-الهند-ميانمار-اوغندا-الصين-النرويج</v>
      </c>
      <c r="D120" s="68"/>
      <c r="E120" s="68"/>
      <c r="F120" s="68"/>
      <c r="G120" s="69"/>
      <c r="H120" s="7"/>
      <c r="I120" s="7"/>
      <c r="J120" s="7"/>
      <c r="K120" s="7"/>
      <c r="L120" s="70"/>
      <c r="M120" s="70"/>
      <c r="N120" s="70"/>
      <c r="O120" s="70"/>
      <c r="P120" s="70"/>
    </row>
    <row r="121" spans="2:16" s="5" customFormat="1" thickTop="1" thickBot="1" x14ac:dyDescent="0.25">
      <c r="B121" s="6">
        <v>3</v>
      </c>
      <c r="C121" s="67" t="str">
        <f>CONCATENATE(يناير!C121,فبراير!C121,مارس!C121,ابريل!C121,مايو!C121,يونيو!C121,يوليو!C121,اغسطس!C121,سبتمبر!C121,نوفمبر!C121,'اكتوبر '!C121:G121,ديسمبر!C121)</f>
        <v/>
      </c>
      <c r="D121" s="68"/>
      <c r="E121" s="68"/>
      <c r="F121" s="68"/>
      <c r="G121" s="69"/>
      <c r="H121" s="7"/>
      <c r="I121" s="7"/>
      <c r="J121" s="7"/>
      <c r="K121" s="7"/>
      <c r="L121" s="70"/>
      <c r="M121" s="70"/>
      <c r="N121" s="70"/>
      <c r="O121" s="70"/>
      <c r="P121" s="70"/>
    </row>
    <row r="122" spans="2:16" s="5" customFormat="1" thickTop="1" thickBot="1" x14ac:dyDescent="0.25">
      <c r="B122" s="6">
        <v>4</v>
      </c>
      <c r="C122" s="67" t="str">
        <f>CONCATENATE(يناير!C122,فبراير!C122,مارس!C122,ابريل!C122,مايو!C122,يونيو!C122,يوليو!C122,اغسطس!C122,سبتمبر!C122,نوفمبر!C122,'اكتوبر '!C122:G122,ديسمبر!C122)</f>
        <v>الامارات - البرازيل - هولندا - استراليا -جنوب افريقياالبرازيل/استراليا/ماليزيا/هولندا/الامارات/ايطاليا/فرنساالامارات/البرازيل/هولندا/استراليا/السعودية/فرنسا/جنوب افريقيا/سنغافوره/تشيلي /الدنمارك /اليابان/ ماليزيااستراليا-الامارات-البرازيل-اليابان-ايطاليا-جنوب إفريقيا-فرنسا-نيوزلاندا-نيوزلنداالامارات – استراليا –البرازيل –ايطاليا</v>
      </c>
      <c r="D122" s="68"/>
      <c r="E122" s="68"/>
      <c r="F122" s="68"/>
      <c r="G122" s="69"/>
      <c r="H122" s="7"/>
      <c r="I122" s="7"/>
      <c r="J122" s="7"/>
      <c r="K122" s="7"/>
      <c r="L122" s="70"/>
      <c r="M122" s="70"/>
      <c r="N122" s="70"/>
      <c r="O122" s="70"/>
      <c r="P122" s="70"/>
    </row>
    <row r="123" spans="2:16" s="5" customFormat="1" thickTop="1" thickBot="1" x14ac:dyDescent="0.25">
      <c r="B123" s="6">
        <v>5</v>
      </c>
      <c r="C123" s="67" t="str">
        <f>CONCATENATE(يناير!C123,فبراير!C123,مارس!C123,ابريل!C123,مايو!C123,يونيو!C123,يوليو!C123,اغسطس!C123,سبتمبر!C123,نوفمبر!C123,'اكتوبر '!C123:G123,ديسمبر!C123)</f>
        <v>الامارات - استراليا استراليا/البرازيل/الاروغواي/هولندا/الاماراتالامارات/استراليا/السعودية/ايطاليااستراليا-الامارات-السعوديةالامارات – استراليا- البرازيل- كينيا-ماليزيا</v>
      </c>
      <c r="D123" s="68"/>
      <c r="E123" s="68"/>
      <c r="F123" s="68"/>
      <c r="G123" s="69"/>
      <c r="H123" s="7"/>
      <c r="I123" s="7"/>
      <c r="J123" s="7"/>
      <c r="K123" s="7"/>
      <c r="L123" s="70"/>
      <c r="M123" s="70"/>
      <c r="N123" s="70"/>
      <c r="O123" s="70"/>
      <c r="P123" s="70"/>
    </row>
    <row r="124" spans="2:16" s="5" customFormat="1" thickTop="1" thickBot="1" x14ac:dyDescent="0.25">
      <c r="B124" s="6">
        <v>6</v>
      </c>
      <c r="C124" s="67" t="str">
        <f>CONCATENATE(يناير!C124,فبراير!C124,مارس!C124,ابريل!C124,مايو!C124,يونيو!C124,يوليو!C124,اغسطس!C124,سبتمبر!C124,نوفمبر!C124,'اكتوبر '!C124:G124,ديسمبر!C124)</f>
        <v>الامارات - السعوديه - الكويت - استراليا - امريكاالسعودية/الامارات/استرالياالامارات/السعوديةالامارات-السعوديةالامارات – السعودية</v>
      </c>
      <c r="D124" s="68"/>
      <c r="E124" s="68"/>
      <c r="F124" s="68"/>
      <c r="G124" s="69"/>
      <c r="H124" s="7"/>
      <c r="I124" s="7"/>
      <c r="J124" s="7"/>
      <c r="K124" s="7"/>
      <c r="L124" s="70"/>
      <c r="M124" s="70"/>
      <c r="N124" s="70"/>
      <c r="O124" s="70"/>
      <c r="P124" s="70"/>
    </row>
    <row r="125" spans="2:16" s="5" customFormat="1" thickTop="1" thickBot="1" x14ac:dyDescent="0.25">
      <c r="B125" s="6">
        <v>7</v>
      </c>
      <c r="C125" s="67" t="str">
        <f>CONCATENATE(يناير!C125,فبراير!C125,مارس!C125,ابريل!C125,مايو!C125,يونيو!C125,يوليو!C125,اغسطس!C125,سبتمبر!C125,نوفمبر!C125,'اكتوبر '!C125:G125,ديسمبر!C125)</f>
        <v/>
      </c>
      <c r="D125" s="68"/>
      <c r="E125" s="68"/>
      <c r="F125" s="68"/>
      <c r="G125" s="69"/>
      <c r="H125" s="7"/>
      <c r="I125" s="7"/>
      <c r="J125" s="7"/>
      <c r="K125" s="7"/>
      <c r="L125" s="70"/>
      <c r="M125" s="70"/>
      <c r="N125" s="70"/>
      <c r="O125" s="70"/>
      <c r="P125" s="70"/>
    </row>
    <row r="126" spans="2:16" s="5" customFormat="1" thickTop="1" thickBot="1" x14ac:dyDescent="0.25">
      <c r="B126" s="6">
        <v>8</v>
      </c>
      <c r="C126" s="67" t="str">
        <f>CONCATENATE(يناير!C126,فبراير!C126,مارس!C126,ابريل!C126,مايو!C126,يونيو!C126,يوليو!C126,اغسطس!C126,سبتمبر!C126,نوفمبر!C126,'اكتوبر '!C126:G126,ديسمبر!C126)</f>
        <v/>
      </c>
      <c r="D126" s="68"/>
      <c r="E126" s="68"/>
      <c r="F126" s="68"/>
      <c r="G126" s="69"/>
      <c r="H126" s="7"/>
      <c r="I126" s="7"/>
      <c r="J126" s="7"/>
      <c r="K126" s="7"/>
      <c r="L126" s="70"/>
      <c r="M126" s="70"/>
      <c r="N126" s="70"/>
      <c r="O126" s="70"/>
      <c r="P126" s="70"/>
    </row>
    <row r="127" spans="2:16" s="5" customFormat="1" ht="16.5" customHeight="1" thickTop="1" thickBot="1" x14ac:dyDescent="0.25">
      <c r="B127" s="6">
        <v>9</v>
      </c>
      <c r="C127" s="67" t="str">
        <f>CONCATENATE(يناير!C127,فبراير!C127,مارس!C127,ابريل!C127,مايو!C127,يونيو!C127,يوليو!C127,اغسطس!C127,سبتمبر!C127,نوفمبر!C127,'اكتوبر '!C127:G127,ديسمبر!C127)</f>
        <v>الامارات - البرازيل - امريكا - فرنسا - تايلاند - الارجنتين - المكسيكالبرازيل/استراليا/امريكا/اوكرانيا/الامارات/فرنساالامارات/البرازيل /الدنمارك/ فرنسا/ تايلاند/ماليزيا/السعوديةأوكرانيا-الامارات-البرازيل-فرنسا-ماليزيا-هولنداالامارات -البرازيل – امريكا- فرنسا – استراليا – أوكرانيا-تايلاند-مصر</v>
      </c>
      <c r="D127" s="68"/>
      <c r="E127" s="68"/>
      <c r="F127" s="68"/>
      <c r="G127" s="69"/>
      <c r="H127" s="7"/>
      <c r="I127" s="7"/>
      <c r="J127" s="7"/>
      <c r="K127" s="7"/>
      <c r="L127" s="7"/>
      <c r="M127" s="7"/>
      <c r="N127" s="7"/>
      <c r="O127" s="7"/>
      <c r="P127" s="7"/>
    </row>
    <row r="128" spans="2:16" s="5" customFormat="1" ht="16.5" customHeight="1" thickTop="1" thickBot="1" x14ac:dyDescent="0.25">
      <c r="B128" s="6">
        <v>10</v>
      </c>
      <c r="C128" s="67" t="str">
        <f>CONCATENATE(يناير!C128,فبراير!C128,مارس!C128,ابريل!C128,مايو!C128,يونيو!C128,يوليو!C128,اغسطس!C128,سبتمبر!C128,نوفمبر!C128,'اكتوبر '!C128:G128,ديسمبر!C128)</f>
        <v>الاماراتالامارات/فرنساالامارات/البرازيل/السعوديةالاماراتالامارات</v>
      </c>
      <c r="D128" s="68"/>
      <c r="E128" s="68"/>
      <c r="F128" s="68"/>
      <c r="G128" s="69"/>
      <c r="H128" s="7"/>
      <c r="I128" s="7"/>
      <c r="J128" s="7"/>
      <c r="K128" s="7"/>
      <c r="L128" s="7"/>
      <c r="M128" s="7"/>
      <c r="N128" s="7"/>
      <c r="O128" s="7"/>
      <c r="P128" s="7"/>
    </row>
    <row r="129" spans="2:16" s="5" customFormat="1" ht="16.5" customHeight="1" thickTop="1" thickBot="1" x14ac:dyDescent="0.25">
      <c r="B129" s="6">
        <v>11</v>
      </c>
      <c r="C129" s="67" t="str">
        <f>CONCATENATE(يناير!C129,فبراير!C129,مارس!C129,ابريل!C129,مايو!C129,يونيو!C129,يوليو!C129,اغسطس!C129,سبتمبر!C129,نوفمبر!C129,'اكتوبر '!C129:G129,ديسمبر!C129)</f>
        <v/>
      </c>
      <c r="D129" s="68"/>
      <c r="E129" s="68"/>
      <c r="F129" s="68"/>
      <c r="G129" s="69"/>
      <c r="H129" s="7"/>
      <c r="I129" s="7"/>
      <c r="J129" s="7"/>
      <c r="K129" s="7"/>
      <c r="L129" s="7"/>
      <c r="M129" s="7"/>
      <c r="N129" s="7"/>
      <c r="O129" s="7"/>
      <c r="P129" s="7"/>
    </row>
    <row r="130" spans="2:16" s="5" customFormat="1" ht="16.5" customHeight="1" thickTop="1" thickBot="1" x14ac:dyDescent="0.25">
      <c r="B130" s="6">
        <v>12</v>
      </c>
      <c r="C130" s="67" t="str">
        <f>CONCATENATE(يناير!C130,فبراير!C130,مارس!C130,ابريل!C130,مايو!C130,يونيو!C130,يوليو!C130,اغسطس!C130,سبتمبر!C130,نوفمبر!C130,'اكتوبر '!C130:G130,ديسمبر!C130)</f>
        <v>البرازيل</v>
      </c>
      <c r="D130" s="68"/>
      <c r="E130" s="68"/>
      <c r="F130" s="68"/>
      <c r="G130" s="69"/>
      <c r="H130" s="7"/>
      <c r="I130" s="7"/>
      <c r="J130" s="7"/>
      <c r="K130" s="7"/>
      <c r="L130" s="70"/>
      <c r="M130" s="70"/>
      <c r="N130" s="70"/>
      <c r="O130" s="70"/>
      <c r="P130" s="70"/>
    </row>
    <row r="131" spans="2:16" s="5" customFormat="1" ht="16.5" customHeight="1" thickTop="1" x14ac:dyDescent="0.2">
      <c r="B131" s="7"/>
      <c r="C131" s="53"/>
      <c r="D131" s="53"/>
      <c r="E131" s="53"/>
      <c r="F131" s="53"/>
      <c r="G131" s="53"/>
      <c r="H131" s="7"/>
      <c r="I131" s="7"/>
      <c r="J131" s="7"/>
      <c r="K131" s="7"/>
      <c r="L131" s="7"/>
      <c r="M131" s="7"/>
      <c r="N131" s="7"/>
      <c r="O131" s="7"/>
      <c r="P131" s="7"/>
    </row>
    <row r="132" spans="2:16" s="5" customFormat="1" ht="16.5" customHeight="1" x14ac:dyDescent="0.2">
      <c r="B132" s="7"/>
      <c r="C132" s="53"/>
      <c r="D132" s="53"/>
      <c r="E132" s="53"/>
      <c r="F132" s="53"/>
      <c r="G132" s="53"/>
      <c r="H132" s="7"/>
      <c r="I132" s="7"/>
      <c r="J132" s="7"/>
      <c r="K132" s="7"/>
      <c r="L132" s="7"/>
      <c r="M132" s="7"/>
      <c r="N132" s="7"/>
      <c r="O132" s="7"/>
      <c r="P132" s="7"/>
    </row>
    <row r="133" spans="2:16" s="5" customFormat="1" ht="13.5" thickBo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2:16" s="5" customFormat="1" ht="17.25" thickTop="1" thickBot="1" x14ac:dyDescent="0.3">
      <c r="B134" s="81" t="s">
        <v>138</v>
      </c>
      <c r="C134" s="82"/>
      <c r="D134" s="82"/>
      <c r="E134" s="82"/>
      <c r="F134" s="83"/>
    </row>
    <row r="135" spans="2:16" s="5" customFormat="1" thickTop="1" thickBot="1" x14ac:dyDescent="0.25">
      <c r="B135" s="46" t="s">
        <v>0</v>
      </c>
      <c r="C135" s="46" t="s">
        <v>44</v>
      </c>
      <c r="D135" s="46" t="s">
        <v>1</v>
      </c>
      <c r="E135" s="46" t="s">
        <v>83</v>
      </c>
      <c r="F135" s="46" t="s">
        <v>84</v>
      </c>
    </row>
    <row r="136" spans="2:16" s="5" customFormat="1" thickTop="1" thickBot="1" x14ac:dyDescent="0.25">
      <c r="B136" s="6">
        <v>1</v>
      </c>
      <c r="C136" s="6" t="s">
        <v>45</v>
      </c>
      <c r="D136" s="6" t="s">
        <v>3</v>
      </c>
      <c r="E136" s="61">
        <f>SUM(ديسمبر!E136+نوفمبر!E136+'اكتوبر '!E136+سبتمبر!E136+اغسطس!E136+يوليو!E136+يونيو!E136+مايو!E136+ابريل!E136+مارس!E136+فبراير!E136+يناير!E136)</f>
        <v>0</v>
      </c>
      <c r="F136" s="11">
        <f>E136/1000</f>
        <v>0</v>
      </c>
    </row>
    <row r="137" spans="2:16" s="5" customFormat="1" thickTop="1" thickBot="1" x14ac:dyDescent="0.25">
      <c r="B137" s="6">
        <v>2</v>
      </c>
      <c r="C137" s="6" t="s">
        <v>57</v>
      </c>
      <c r="D137" s="6" t="s">
        <v>3</v>
      </c>
      <c r="E137" s="61">
        <f>SUM(ديسمبر!E137+نوفمبر!E137+'اكتوبر '!E137+سبتمبر!E137+اغسطس!E137+يوليو!E137+يونيو!E137+مايو!E137+ابريل!E137+مارس!E137+فبراير!E137+يناير!E137)</f>
        <v>0</v>
      </c>
      <c r="F137" s="11">
        <f t="shared" ref="F137:F144" si="1">E137/1000</f>
        <v>0</v>
      </c>
    </row>
    <row r="138" spans="2:16" s="5" customFormat="1" thickTop="1" thickBot="1" x14ac:dyDescent="0.25">
      <c r="B138" s="6">
        <v>3</v>
      </c>
      <c r="C138" s="6" t="s">
        <v>58</v>
      </c>
      <c r="D138" s="6" t="s">
        <v>3</v>
      </c>
      <c r="E138" s="61">
        <f>SUM(ديسمبر!E138+نوفمبر!E138+'اكتوبر '!E138+سبتمبر!E138+اغسطس!E138+يوليو!E138+يونيو!E138+مايو!E138+ابريل!E138+مارس!E138+فبراير!E138+يناير!E138)</f>
        <v>0</v>
      </c>
      <c r="F138" s="11">
        <f t="shared" si="1"/>
        <v>0</v>
      </c>
    </row>
    <row r="139" spans="2:16" s="5" customFormat="1" ht="39.75" thickTop="1" thickBot="1" x14ac:dyDescent="0.25">
      <c r="B139" s="6">
        <v>4</v>
      </c>
      <c r="C139" s="9" t="s">
        <v>101</v>
      </c>
      <c r="D139" s="6" t="s">
        <v>3</v>
      </c>
      <c r="E139" s="61">
        <f>SUM(ديسمبر!E139+نوفمبر!E139+'اكتوبر '!E139+سبتمبر!E139+اغسطس!E139+يوليو!E139+يونيو!E139+مايو!E139+ابريل!E139+مارس!E139+فبراير!E139+يناير!E139)</f>
        <v>0</v>
      </c>
      <c r="F139" s="11">
        <f t="shared" si="1"/>
        <v>0</v>
      </c>
    </row>
    <row r="140" spans="2:16" s="5" customFormat="1" thickTop="1" thickBot="1" x14ac:dyDescent="0.25">
      <c r="B140" s="6">
        <v>5</v>
      </c>
      <c r="C140" s="6" t="s">
        <v>59</v>
      </c>
      <c r="D140" s="6" t="s">
        <v>3</v>
      </c>
      <c r="E140" s="61">
        <f>SUM(ديسمبر!E140+نوفمبر!E140+'اكتوبر '!E140+سبتمبر!E140+اغسطس!E140+يوليو!E140+يونيو!E140+مايو!E140+ابريل!E140+مارس!E140+فبراير!E140+يناير!E140)</f>
        <v>0</v>
      </c>
      <c r="F140" s="11">
        <f t="shared" si="1"/>
        <v>0</v>
      </c>
    </row>
    <row r="141" spans="2:16" s="5" customFormat="1" ht="38.25" customHeight="1" thickTop="1" thickBot="1" x14ac:dyDescent="0.25">
      <c r="B141" s="6">
        <v>6</v>
      </c>
      <c r="C141" s="9" t="s">
        <v>100</v>
      </c>
      <c r="D141" s="6" t="s">
        <v>3</v>
      </c>
      <c r="E141" s="61">
        <f>SUM(ديسمبر!E141+نوفمبر!E141+'اكتوبر '!E141+سبتمبر!E141+اغسطس!E141+يوليو!E141+يونيو!E141+مايو!E141+ابريل!E141+مارس!E141+فبراير!E141+يناير!E141)</f>
        <v>0</v>
      </c>
      <c r="F141" s="11">
        <f t="shared" si="1"/>
        <v>0</v>
      </c>
    </row>
    <row r="142" spans="2:16" s="5" customFormat="1" thickTop="1" thickBot="1" x14ac:dyDescent="0.25">
      <c r="B142" s="6">
        <v>7</v>
      </c>
      <c r="C142" s="6" t="s">
        <v>6</v>
      </c>
      <c r="D142" s="6" t="s">
        <v>3</v>
      </c>
      <c r="E142" s="61">
        <f>SUM(ديسمبر!E142+نوفمبر!E142+'اكتوبر '!E142+سبتمبر!E142+اغسطس!E142+يوليو!E142+يونيو!E142+مايو!E142+ابريل!E142+مارس!E142+فبراير!E142+يناير!E142)</f>
        <v>0</v>
      </c>
      <c r="F142" s="11">
        <f t="shared" si="1"/>
        <v>0</v>
      </c>
    </row>
    <row r="143" spans="2:16" s="5" customFormat="1" thickTop="1" thickBot="1" x14ac:dyDescent="0.25">
      <c r="B143" s="6">
        <v>8</v>
      </c>
      <c r="C143" s="6" t="s">
        <v>60</v>
      </c>
      <c r="D143" s="6" t="s">
        <v>3</v>
      </c>
      <c r="E143" s="61">
        <f>SUM(ديسمبر!E143+نوفمبر!E143+'اكتوبر '!E143+سبتمبر!E143+اغسطس!E143+يوليو!E143+يونيو!E143+مايو!E143+ابريل!E143+مارس!E143+فبراير!E143+يناير!E143)</f>
        <v>0</v>
      </c>
      <c r="F143" s="11">
        <f t="shared" si="1"/>
        <v>0</v>
      </c>
    </row>
    <row r="144" spans="2:16" s="5" customFormat="1" thickTop="1" thickBot="1" x14ac:dyDescent="0.25">
      <c r="B144" s="6">
        <v>9</v>
      </c>
      <c r="C144" s="6" t="s">
        <v>7</v>
      </c>
      <c r="D144" s="6" t="s">
        <v>3</v>
      </c>
      <c r="E144" s="61">
        <f>SUM(ديسمبر!E144+نوفمبر!E144+'اكتوبر '!E144+سبتمبر!E144+اغسطس!E144+يوليو!E144+يونيو!E144+مايو!E144+ابريل!E144+مارس!E144+فبراير!E144+يناير!E144)</f>
        <v>0</v>
      </c>
      <c r="F144" s="11">
        <f t="shared" si="1"/>
        <v>0</v>
      </c>
    </row>
    <row r="145" spans="2:16" s="5" customFormat="1" thickTop="1" thickBot="1" x14ac:dyDescent="0.25">
      <c r="B145" s="74" t="s">
        <v>80</v>
      </c>
      <c r="C145" s="75"/>
      <c r="D145" s="76"/>
      <c r="E145" s="38">
        <f>SUM(E136:E144)</f>
        <v>0</v>
      </c>
      <c r="F145" s="39">
        <f>SUM(F136:F144)</f>
        <v>0</v>
      </c>
    </row>
    <row r="146" spans="2:16" s="5" customFormat="1" thickTop="1" thickBot="1" x14ac:dyDescent="0.25"/>
    <row r="147" spans="2:16" s="5" customFormat="1" thickTop="1" thickBot="1" x14ac:dyDescent="0.25">
      <c r="B147" s="47" t="s">
        <v>0</v>
      </c>
      <c r="C147" s="77" t="s">
        <v>5</v>
      </c>
      <c r="D147" s="78"/>
      <c r="E147" s="78"/>
      <c r="F147" s="78"/>
      <c r="G147" s="79"/>
      <c r="H147" s="7"/>
      <c r="I147" s="7"/>
      <c r="J147" s="7"/>
      <c r="K147" s="7"/>
      <c r="L147" s="70"/>
      <c r="M147" s="70"/>
      <c r="N147" s="70"/>
      <c r="O147" s="70"/>
      <c r="P147" s="70"/>
    </row>
    <row r="148" spans="2:16" s="5" customFormat="1" thickTop="1" thickBot="1" x14ac:dyDescent="0.25">
      <c r="B148" s="6">
        <v>1</v>
      </c>
      <c r="C148" s="67" t="str">
        <f>CONCATENATE(يناير!C148,فبراير!C148,مارس!C148,ابريل!C148,مايو!C148,يونيو!C148,يوليو!C148,اغسطس!C148,سبتمبر!C148,نوفمبر!C148,'اكتوبر '!C148:G148,ديسمبر!C148)</f>
        <v/>
      </c>
      <c r="D148" s="68"/>
      <c r="E148" s="68"/>
      <c r="F148" s="68"/>
      <c r="G148" s="69"/>
      <c r="H148" s="10"/>
      <c r="I148" s="7"/>
      <c r="J148" s="7"/>
      <c r="K148" s="7"/>
      <c r="L148" s="70"/>
      <c r="M148" s="70"/>
      <c r="N148" s="70"/>
      <c r="O148" s="70"/>
      <c r="P148" s="70"/>
    </row>
    <row r="149" spans="2:16" s="5" customFormat="1" thickTop="1" thickBot="1" x14ac:dyDescent="0.25">
      <c r="B149" s="6">
        <v>2</v>
      </c>
      <c r="C149" s="67" t="str">
        <f>CONCATENATE(يناير!C149,فبراير!C149,مارس!C149,ابريل!C149,مايو!C149,يونيو!C149,يوليو!C149,اغسطس!C149,سبتمبر!C149,نوفمبر!C149,'اكتوبر '!C149:G149,ديسمبر!C149)</f>
        <v/>
      </c>
      <c r="D149" s="68"/>
      <c r="E149" s="68"/>
      <c r="F149" s="68"/>
      <c r="G149" s="69"/>
      <c r="H149" s="7"/>
      <c r="I149" s="7"/>
      <c r="J149" s="7"/>
      <c r="K149" s="7"/>
      <c r="L149" s="70"/>
      <c r="M149" s="70"/>
      <c r="N149" s="70"/>
      <c r="O149" s="70"/>
      <c r="P149" s="70"/>
    </row>
    <row r="150" spans="2:16" s="5" customFormat="1" thickTop="1" thickBot="1" x14ac:dyDescent="0.25">
      <c r="B150" s="6">
        <v>3</v>
      </c>
      <c r="C150" s="67" t="str">
        <f>CONCATENATE(يناير!C150,فبراير!C150,مارس!C150,ابريل!C150,مايو!C150,يونيو!C150,يوليو!C150,اغسطس!C150,سبتمبر!C150,نوفمبر!C150,'اكتوبر '!C150:G150,ديسمبر!C150)</f>
        <v/>
      </c>
      <c r="D150" s="68"/>
      <c r="E150" s="68"/>
      <c r="F150" s="68"/>
      <c r="G150" s="69"/>
      <c r="H150" s="7"/>
      <c r="I150" s="7"/>
      <c r="J150" s="7"/>
      <c r="K150" s="7"/>
      <c r="L150" s="70"/>
      <c r="M150" s="70"/>
      <c r="N150" s="70"/>
      <c r="O150" s="70"/>
      <c r="P150" s="70"/>
    </row>
    <row r="151" spans="2:16" s="5" customFormat="1" thickTop="1" thickBot="1" x14ac:dyDescent="0.25">
      <c r="B151" s="6">
        <v>4</v>
      </c>
      <c r="C151" s="67" t="str">
        <f>CONCATENATE(يناير!C151,فبراير!C151,مارس!C151,ابريل!C151,مايو!C151,يونيو!C151,يوليو!C151,اغسطس!C151,سبتمبر!C151,نوفمبر!C151,'اكتوبر '!C151:G151,ديسمبر!C151)</f>
        <v/>
      </c>
      <c r="D151" s="68"/>
      <c r="E151" s="68"/>
      <c r="F151" s="68"/>
      <c r="G151" s="69"/>
      <c r="H151" s="7"/>
      <c r="I151" s="7"/>
      <c r="J151" s="7"/>
      <c r="K151" s="7"/>
      <c r="L151" s="70"/>
      <c r="M151" s="70"/>
      <c r="N151" s="70"/>
      <c r="O151" s="70"/>
      <c r="P151" s="70"/>
    </row>
    <row r="152" spans="2:16" s="5" customFormat="1" thickTop="1" thickBot="1" x14ac:dyDescent="0.25">
      <c r="B152" s="6">
        <v>5</v>
      </c>
      <c r="C152" s="67" t="str">
        <f>CONCATENATE(يناير!C152,فبراير!C152,مارس!C152,ابريل!C152,مايو!C152,يونيو!C152,يوليو!C152,اغسطس!C152,سبتمبر!C152,نوفمبر!C152,'اكتوبر '!C152:G152,ديسمبر!C152)</f>
        <v/>
      </c>
      <c r="D152" s="68"/>
      <c r="E152" s="68"/>
      <c r="F152" s="68"/>
      <c r="G152" s="69"/>
      <c r="H152" s="7"/>
      <c r="I152" s="7"/>
      <c r="J152" s="7"/>
      <c r="K152" s="7"/>
      <c r="L152" s="70"/>
      <c r="M152" s="70"/>
      <c r="N152" s="70"/>
      <c r="O152" s="70"/>
      <c r="P152" s="70"/>
    </row>
    <row r="153" spans="2:16" s="5" customFormat="1" thickTop="1" thickBot="1" x14ac:dyDescent="0.25">
      <c r="B153" s="6">
        <v>6</v>
      </c>
      <c r="C153" s="67" t="str">
        <f>CONCATENATE(يناير!C153,فبراير!C153,مارس!C153,ابريل!C153,مايو!C153,يونيو!C153,يوليو!C153,اغسطس!C153,سبتمبر!C153,نوفمبر!C153,'اكتوبر '!C153:G153,ديسمبر!C153)</f>
        <v/>
      </c>
      <c r="D153" s="68"/>
      <c r="E153" s="68"/>
      <c r="F153" s="68"/>
      <c r="G153" s="69"/>
      <c r="H153" s="7"/>
      <c r="I153" s="7"/>
      <c r="J153" s="7"/>
      <c r="K153" s="7"/>
      <c r="L153" s="70"/>
      <c r="M153" s="70"/>
      <c r="N153" s="70"/>
      <c r="O153" s="70"/>
      <c r="P153" s="70"/>
    </row>
    <row r="154" spans="2:16" s="5" customFormat="1" thickTop="1" thickBot="1" x14ac:dyDescent="0.25">
      <c r="B154" s="6">
        <v>7</v>
      </c>
      <c r="C154" s="67" t="str">
        <f>CONCATENATE(يناير!C154,فبراير!C154,مارس!C154,ابريل!C154,مايو!C154,يونيو!C154,يوليو!C154,اغسطس!C154,سبتمبر!C154,نوفمبر!C154,'اكتوبر '!C154:G154,ديسمبر!C154)</f>
        <v/>
      </c>
      <c r="D154" s="68"/>
      <c r="E154" s="68"/>
      <c r="F154" s="68"/>
      <c r="G154" s="69"/>
      <c r="H154" s="7"/>
      <c r="I154" s="7"/>
      <c r="J154" s="7"/>
      <c r="K154" s="7"/>
      <c r="L154" s="70"/>
      <c r="M154" s="70"/>
      <c r="N154" s="70"/>
      <c r="O154" s="70"/>
      <c r="P154" s="70"/>
    </row>
    <row r="155" spans="2:16" s="5" customFormat="1" thickTop="1" thickBot="1" x14ac:dyDescent="0.25">
      <c r="B155" s="6">
        <v>8</v>
      </c>
      <c r="C155" s="67" t="str">
        <f>CONCATENATE(يناير!C155,فبراير!C155,مارس!C155,ابريل!C155,مايو!C155,يونيو!C155,يوليو!C155,اغسطس!C155,سبتمبر!C155,نوفمبر!C155,'اكتوبر '!C155:G155,ديسمبر!C155)</f>
        <v/>
      </c>
      <c r="D155" s="68"/>
      <c r="E155" s="68"/>
      <c r="F155" s="68"/>
      <c r="G155" s="69"/>
      <c r="H155" s="7"/>
      <c r="I155" s="7"/>
      <c r="J155" s="7"/>
      <c r="K155" s="7"/>
      <c r="L155" s="70"/>
      <c r="M155" s="70"/>
      <c r="N155" s="70"/>
      <c r="O155" s="70"/>
      <c r="P155" s="70"/>
    </row>
    <row r="156" spans="2:16" s="5" customFormat="1" thickTop="1" thickBot="1" x14ac:dyDescent="0.25">
      <c r="B156" s="6">
        <v>9</v>
      </c>
      <c r="C156" s="67" t="str">
        <f>CONCATENATE(يناير!C156,فبراير!C156,مارس!C156,ابريل!C156,مايو!C156,يونيو!C156,يوليو!C156,اغسطس!C156,سبتمبر!C156,نوفمبر!C156,'اكتوبر '!C156:G156,ديسمبر!C156)</f>
        <v/>
      </c>
      <c r="D156" s="68"/>
      <c r="E156" s="68"/>
      <c r="F156" s="68"/>
      <c r="G156" s="69"/>
      <c r="H156" s="7"/>
      <c r="I156" s="7"/>
      <c r="J156" s="7"/>
      <c r="K156" s="7"/>
      <c r="L156" s="70"/>
      <c r="M156" s="70"/>
      <c r="N156" s="70"/>
      <c r="O156" s="70"/>
      <c r="P156" s="70"/>
    </row>
    <row r="157" spans="2:16" s="5" customFormat="1" ht="13.5" thickTop="1" x14ac:dyDescent="0.2">
      <c r="B157" s="7"/>
      <c r="C157" s="54"/>
      <c r="D157" s="54"/>
      <c r="E157" s="54"/>
      <c r="F157" s="54"/>
      <c r="G157" s="54"/>
      <c r="H157" s="7"/>
      <c r="I157" s="7"/>
      <c r="J157" s="7"/>
      <c r="K157" s="7"/>
      <c r="L157" s="7"/>
      <c r="M157" s="7"/>
      <c r="N157" s="7"/>
      <c r="O157" s="7"/>
      <c r="P157" s="7"/>
    </row>
    <row r="158" spans="2:16" s="5" customFormat="1" ht="12.75" x14ac:dyDescent="0.2">
      <c r="B158" s="7"/>
      <c r="C158" s="54"/>
      <c r="D158" s="54"/>
      <c r="E158" s="54"/>
      <c r="F158" s="54"/>
      <c r="G158" s="54"/>
      <c r="H158" s="7"/>
      <c r="I158" s="7"/>
      <c r="J158" s="7"/>
      <c r="K158" s="7"/>
      <c r="L158" s="7"/>
      <c r="M158" s="7"/>
      <c r="N158" s="7"/>
      <c r="O158" s="7"/>
      <c r="P158" s="7"/>
    </row>
    <row r="159" spans="2:16" s="5" customFormat="1" ht="13.5" thickBot="1" x14ac:dyDescent="0.25"/>
    <row r="160" spans="2:16" s="5" customFormat="1" ht="17.25" customHeight="1" thickTop="1" thickBot="1" x14ac:dyDescent="0.3">
      <c r="B160" s="81" t="s">
        <v>139</v>
      </c>
      <c r="C160" s="82"/>
      <c r="D160" s="82"/>
      <c r="E160" s="82"/>
      <c r="F160" s="83"/>
      <c r="G160" s="14"/>
    </row>
    <row r="161" spans="1:16" s="5" customFormat="1" thickTop="1" thickBot="1" x14ac:dyDescent="0.25">
      <c r="A161" s="15"/>
      <c r="B161" s="46" t="s">
        <v>0</v>
      </c>
      <c r="C161" s="46" t="s">
        <v>44</v>
      </c>
      <c r="D161" s="46" t="s">
        <v>1</v>
      </c>
      <c r="E161" s="46" t="s">
        <v>91</v>
      </c>
      <c r="F161" s="46" t="s">
        <v>85</v>
      </c>
      <c r="G161" s="7"/>
    </row>
    <row r="162" spans="1:16" s="5" customFormat="1" thickTop="1" thickBot="1" x14ac:dyDescent="0.25">
      <c r="A162" s="15"/>
      <c r="B162" s="6">
        <v>1</v>
      </c>
      <c r="C162" s="6" t="s">
        <v>8</v>
      </c>
      <c r="D162" s="6" t="s">
        <v>41</v>
      </c>
      <c r="E162" s="61">
        <f>SUM(ديسمبر!E162+نوفمبر!E162+'اكتوبر '!E162+سبتمبر!E162+اغسطس!E162+يوليو!E162+يونيو!E162+مايو!E162+ابريل!E162+مارس!E162+فبراير!E162+يناير!E162)</f>
        <v>0</v>
      </c>
      <c r="F162" s="16"/>
    </row>
    <row r="163" spans="1:16" s="5" customFormat="1" thickTop="1" thickBot="1" x14ac:dyDescent="0.25">
      <c r="A163" s="15"/>
      <c r="B163" s="6">
        <v>2</v>
      </c>
      <c r="C163" s="6" t="s">
        <v>9</v>
      </c>
      <c r="D163" s="6" t="s">
        <v>41</v>
      </c>
      <c r="E163" s="61">
        <f>SUM(ديسمبر!E163+نوفمبر!E163+'اكتوبر '!E163+سبتمبر!E163+اغسطس!E163+يوليو!E163+يونيو!E163+مايو!E163+ابريل!E163+مارس!E163+فبراير!E163+يناير!E163)</f>
        <v>41800</v>
      </c>
      <c r="F163" s="16"/>
    </row>
    <row r="164" spans="1:16" s="5" customFormat="1" ht="16.5" customHeight="1" thickTop="1" thickBot="1" x14ac:dyDescent="0.25">
      <c r="A164" s="15"/>
      <c r="B164" s="71" t="s">
        <v>140</v>
      </c>
      <c r="C164" s="72"/>
      <c r="D164" s="72"/>
      <c r="E164" s="72"/>
      <c r="F164" s="73"/>
    </row>
    <row r="165" spans="1:16" s="5" customFormat="1" thickTop="1" thickBot="1" x14ac:dyDescent="0.25">
      <c r="A165" s="15"/>
      <c r="B165" s="6">
        <v>3</v>
      </c>
      <c r="C165" s="6" t="s">
        <v>10</v>
      </c>
      <c r="D165" s="6" t="s">
        <v>3</v>
      </c>
      <c r="E165" s="61">
        <f>SUM(ديسمبر!E165+نوفمبر!E165+'اكتوبر '!E165+سبتمبر!E165+اغسطس!E165+يوليو!E165+يونيو!E165+مايو!E165+ابريل!E165+مارس!E165+فبراير!E165+يناير!E165)</f>
        <v>0</v>
      </c>
      <c r="F165" s="17">
        <f>E165/1000</f>
        <v>0</v>
      </c>
      <c r="G165" s="18"/>
    </row>
    <row r="166" spans="1:16" s="5" customFormat="1" thickTop="1" thickBot="1" x14ac:dyDescent="0.25">
      <c r="A166" s="15"/>
      <c r="B166" s="19">
        <v>4</v>
      </c>
      <c r="C166" s="19" t="s">
        <v>46</v>
      </c>
      <c r="D166" s="19" t="s">
        <v>3</v>
      </c>
      <c r="E166" s="61">
        <f>SUM(ديسمبر!E166+نوفمبر!E166+'اكتوبر '!E166+سبتمبر!E166+اغسطس!E166+يوليو!E166+يونيو!E166+مايو!E166+ابريل!E166+مارس!E166+فبراير!E166+يناير!E166)</f>
        <v>0</v>
      </c>
      <c r="F166" s="17">
        <f t="shared" ref="F166:F167" si="2">E166/1000</f>
        <v>0</v>
      </c>
      <c r="G166" s="18"/>
    </row>
    <row r="167" spans="1:16" s="5" customFormat="1" ht="27" thickTop="1" thickBot="1" x14ac:dyDescent="0.25">
      <c r="A167" s="15"/>
      <c r="B167" s="19">
        <v>5</v>
      </c>
      <c r="C167" s="20" t="s">
        <v>113</v>
      </c>
      <c r="D167" s="19" t="s">
        <v>3</v>
      </c>
      <c r="E167" s="61">
        <f>SUM(ديسمبر!E167+نوفمبر!E167+'اكتوبر '!E167+سبتمبر!E167+اغسطس!E167+يوليو!E167+يونيو!E167+مايو!E167+ابريل!E167+مارس!E167+فبراير!E167+يناير!E167)</f>
        <v>0</v>
      </c>
      <c r="F167" s="17">
        <f t="shared" si="2"/>
        <v>0</v>
      </c>
      <c r="G167" s="18"/>
    </row>
    <row r="168" spans="1:16" s="5" customFormat="1" ht="17.25" customHeight="1" thickTop="1" thickBot="1" x14ac:dyDescent="0.25">
      <c r="A168" s="15"/>
      <c r="B168" s="74" t="s">
        <v>87</v>
      </c>
      <c r="C168" s="75"/>
      <c r="D168" s="76"/>
      <c r="E168" s="40">
        <f>SUM(E165:E167)</f>
        <v>0</v>
      </c>
      <c r="F168" s="41">
        <f>SUM(F165:F167)</f>
        <v>0</v>
      </c>
      <c r="G168" s="18"/>
    </row>
    <row r="169" spans="1:16" s="5" customFormat="1" ht="17.25" customHeight="1" thickTop="1" thickBot="1" x14ac:dyDescent="0.25">
      <c r="B169" s="7"/>
      <c r="C169" s="7"/>
      <c r="D169" s="7"/>
      <c r="E169" s="18"/>
      <c r="F169" s="21"/>
      <c r="G169" s="18"/>
    </row>
    <row r="170" spans="1:16" s="5" customFormat="1" thickTop="1" thickBot="1" x14ac:dyDescent="0.25">
      <c r="B170" s="47" t="s">
        <v>0</v>
      </c>
      <c r="C170" s="77" t="s">
        <v>5</v>
      </c>
      <c r="D170" s="78"/>
      <c r="E170" s="78"/>
      <c r="F170" s="78"/>
      <c r="G170" s="79"/>
      <c r="H170" s="7"/>
      <c r="I170" s="7"/>
      <c r="J170" s="7"/>
      <c r="K170" s="7"/>
      <c r="L170" s="70"/>
      <c r="M170" s="70"/>
      <c r="N170" s="70"/>
      <c r="O170" s="70"/>
      <c r="P170" s="70"/>
    </row>
    <row r="171" spans="1:16" s="5" customFormat="1" thickTop="1" thickBot="1" x14ac:dyDescent="0.25">
      <c r="B171" s="6">
        <v>1</v>
      </c>
      <c r="C171" s="67" t="str">
        <f>CONCATENATE(يناير!C171,فبراير!C171,مارس!C171,ابريل!C171,مايو!C171,يونيو!C171,يوليو!C171,اغسطس!C171,سبتمبر!C171,نوفمبر!C171,'اكتوبر '!C171:G171,ديسمبر!C171)</f>
        <v/>
      </c>
      <c r="D171" s="68"/>
      <c r="E171" s="68"/>
      <c r="F171" s="68"/>
      <c r="G171" s="69"/>
      <c r="H171" s="7"/>
      <c r="I171" s="7"/>
      <c r="J171" s="7"/>
      <c r="K171" s="7"/>
      <c r="L171" s="70"/>
      <c r="M171" s="70"/>
      <c r="N171" s="70"/>
      <c r="O171" s="70"/>
      <c r="P171" s="70"/>
    </row>
    <row r="172" spans="1:16" s="5" customFormat="1" thickTop="1" thickBot="1" x14ac:dyDescent="0.25">
      <c r="B172" s="6">
        <v>2</v>
      </c>
      <c r="C172" s="67" t="str">
        <f>CONCATENATE(يناير!C172,فبراير!C172,مارس!C172,ابريل!C172,مايو!C172,يونيو!C172,يوليو!C172,اغسطس!C172,سبتمبر!C172,نوفمبر!C172,'اكتوبر '!C172:G172,ديسمبر!C172)</f>
        <v>الاماراتالامارات</v>
      </c>
      <c r="D172" s="68"/>
      <c r="E172" s="68"/>
      <c r="F172" s="68"/>
      <c r="G172" s="69"/>
      <c r="H172" s="7"/>
      <c r="I172" s="7"/>
      <c r="J172" s="7"/>
      <c r="K172" s="7"/>
      <c r="L172" s="70"/>
      <c r="M172" s="70"/>
      <c r="N172" s="70"/>
      <c r="O172" s="70"/>
      <c r="P172" s="70"/>
    </row>
    <row r="173" spans="1:16" s="5" customFormat="1" thickTop="1" thickBot="1" x14ac:dyDescent="0.25">
      <c r="B173" s="6">
        <v>3</v>
      </c>
      <c r="C173" s="67" t="str">
        <f>CONCATENATE(يناير!C173,فبراير!C173,مارس!C173,ابريل!C173,مايو!C173,يونيو!C173,يوليو!C173,اغسطس!C173,سبتمبر!C173,نوفمبر!C173,'اكتوبر '!C173:G173,ديسمبر!C173)</f>
        <v/>
      </c>
      <c r="D173" s="68"/>
      <c r="E173" s="68"/>
      <c r="F173" s="68"/>
      <c r="G173" s="69"/>
      <c r="H173" s="7"/>
      <c r="I173" s="7"/>
      <c r="J173" s="7"/>
      <c r="K173" s="7"/>
      <c r="L173" s="70"/>
      <c r="M173" s="70"/>
      <c r="N173" s="70"/>
      <c r="O173" s="70"/>
      <c r="P173" s="70"/>
    </row>
    <row r="174" spans="1:16" s="5" customFormat="1" thickTop="1" thickBot="1" x14ac:dyDescent="0.25">
      <c r="B174" s="6">
        <v>4</v>
      </c>
      <c r="C174" s="67" t="str">
        <f>CONCATENATE(يناير!C174,فبراير!C174,مارس!C174,ابريل!C174,مايو!C174,يونيو!C174,يوليو!C174,اغسطس!C174,سبتمبر!C174,نوفمبر!C174,'اكتوبر '!C174:G174,ديسمبر!C174)</f>
        <v/>
      </c>
      <c r="D174" s="68"/>
      <c r="E174" s="68"/>
      <c r="F174" s="68"/>
      <c r="G174" s="69"/>
      <c r="H174" s="7"/>
      <c r="I174" s="7"/>
      <c r="J174" s="7"/>
      <c r="K174" s="7"/>
      <c r="L174" s="70"/>
      <c r="M174" s="70"/>
      <c r="N174" s="70"/>
      <c r="O174" s="70"/>
      <c r="P174" s="70"/>
    </row>
    <row r="175" spans="1:16" s="5" customFormat="1" thickTop="1" thickBot="1" x14ac:dyDescent="0.25">
      <c r="B175" s="6">
        <v>5</v>
      </c>
      <c r="C175" s="67" t="str">
        <f>CONCATENATE(يناير!C175,فبراير!C175,مارس!C175,ابريل!C175,مايو!C175,يونيو!C175,يوليو!C175,اغسطس!C175,سبتمبر!C175,نوفمبر!C175,'اكتوبر '!C175:G175,ديسمبر!C175)</f>
        <v/>
      </c>
      <c r="D175" s="68"/>
      <c r="E175" s="68"/>
      <c r="F175" s="68"/>
      <c r="G175" s="69"/>
      <c r="H175" s="10"/>
      <c r="I175" s="7"/>
      <c r="J175" s="7"/>
      <c r="K175" s="7"/>
      <c r="L175" s="70"/>
      <c r="M175" s="70"/>
      <c r="N175" s="70"/>
      <c r="O175" s="70"/>
      <c r="P175" s="70"/>
    </row>
    <row r="176" spans="1:16" s="5" customFormat="1" ht="13.5" thickTop="1" x14ac:dyDescent="0.2">
      <c r="B176" s="7"/>
      <c r="C176" s="54"/>
      <c r="D176" s="54"/>
      <c r="E176" s="54"/>
      <c r="F176" s="54"/>
      <c r="G176" s="54"/>
      <c r="H176" s="7"/>
      <c r="I176" s="7"/>
      <c r="J176" s="7"/>
      <c r="K176" s="7"/>
      <c r="L176" s="7"/>
      <c r="M176" s="7"/>
      <c r="N176" s="7"/>
      <c r="O176" s="7"/>
      <c r="P176" s="7"/>
    </row>
    <row r="177" spans="2:16" s="5" customFormat="1" ht="12.75" x14ac:dyDescent="0.2">
      <c r="B177" s="7"/>
      <c r="C177" s="54"/>
      <c r="D177" s="54"/>
      <c r="E177" s="54"/>
      <c r="F177" s="54"/>
      <c r="G177" s="54"/>
      <c r="H177" s="7"/>
      <c r="I177" s="7"/>
      <c r="J177" s="7"/>
      <c r="K177" s="7"/>
      <c r="L177" s="7"/>
      <c r="M177" s="7"/>
      <c r="N177" s="7"/>
      <c r="O177" s="7"/>
      <c r="P177" s="7"/>
    </row>
    <row r="178" spans="2:16" s="5" customFormat="1" ht="13.5" thickBot="1" x14ac:dyDescent="0.25"/>
    <row r="179" spans="2:16" s="5" customFormat="1" ht="20.25" customHeight="1" thickTop="1" thickBot="1" x14ac:dyDescent="0.25">
      <c r="B179" s="71" t="s">
        <v>141</v>
      </c>
      <c r="C179" s="72"/>
      <c r="D179" s="72"/>
      <c r="E179" s="72"/>
      <c r="F179" s="73"/>
    </row>
    <row r="180" spans="2:16" s="5" customFormat="1" thickTop="1" thickBot="1" x14ac:dyDescent="0.25">
      <c r="B180" s="46" t="s">
        <v>0</v>
      </c>
      <c r="C180" s="46" t="s">
        <v>44</v>
      </c>
      <c r="D180" s="46" t="s">
        <v>1</v>
      </c>
      <c r="E180" s="46" t="s">
        <v>123</v>
      </c>
      <c r="F180" s="46" t="s">
        <v>84</v>
      </c>
    </row>
    <row r="181" spans="2:16" s="5" customFormat="1" thickTop="1" thickBot="1" x14ac:dyDescent="0.25">
      <c r="B181" s="6">
        <v>1</v>
      </c>
      <c r="C181" s="6" t="s">
        <v>12</v>
      </c>
      <c r="D181" s="6" t="s">
        <v>3</v>
      </c>
      <c r="E181" s="61">
        <f>SUM(ديسمبر!E181+نوفمبر!E181+'اكتوبر '!E181+سبتمبر!E181+اغسطس!E181+يوليو!E181+يونيو!E181+مايو!E181+ابريل!E181+مارس!E181+فبراير!E181+يناير!E181)</f>
        <v>166100</v>
      </c>
      <c r="F181" s="11">
        <f>E181/1000</f>
        <v>166.1</v>
      </c>
    </row>
    <row r="182" spans="2:16" s="5" customFormat="1" thickTop="1" thickBot="1" x14ac:dyDescent="0.25">
      <c r="B182" s="6">
        <v>2</v>
      </c>
      <c r="C182" s="6" t="s">
        <v>13</v>
      </c>
      <c r="D182" s="6" t="s">
        <v>3</v>
      </c>
      <c r="E182" s="61">
        <f>SUM(ديسمبر!E182+نوفمبر!E182+'اكتوبر '!E182+سبتمبر!E182+اغسطس!E182+يوليو!E182+يونيو!E182+مايو!E182+ابريل!E182+مارس!E182+فبراير!E182+يناير!E182)</f>
        <v>1000</v>
      </c>
      <c r="F182" s="11">
        <f t="shared" ref="F182:F190" si="3">E182/1000</f>
        <v>1</v>
      </c>
    </row>
    <row r="183" spans="2:16" s="5" customFormat="1" thickTop="1" thickBot="1" x14ac:dyDescent="0.25">
      <c r="B183" s="6">
        <v>3</v>
      </c>
      <c r="C183" s="6" t="s">
        <v>17</v>
      </c>
      <c r="D183" s="6" t="s">
        <v>3</v>
      </c>
      <c r="E183" s="61">
        <f>SUM(ديسمبر!E183+نوفمبر!E183+'اكتوبر '!E183+سبتمبر!E183+اغسطس!E183+يوليو!E183+يونيو!E183+مايو!E183+ابريل!E183+مارس!E183+فبراير!E183+يناير!E183)</f>
        <v>0</v>
      </c>
      <c r="F183" s="11">
        <f t="shared" si="3"/>
        <v>0</v>
      </c>
    </row>
    <row r="184" spans="2:16" s="5" customFormat="1" thickTop="1" thickBot="1" x14ac:dyDescent="0.25">
      <c r="B184" s="6">
        <v>4</v>
      </c>
      <c r="C184" s="6" t="s">
        <v>16</v>
      </c>
      <c r="D184" s="6" t="s">
        <v>3</v>
      </c>
      <c r="E184" s="61">
        <f>SUM(ديسمبر!E184+نوفمبر!E184+'اكتوبر '!E184+سبتمبر!E184+اغسطس!E184+يوليو!E184+يونيو!E184+مايو!E184+ابريل!E184+مارس!E184+فبراير!E184+يناير!E184)</f>
        <v>35710</v>
      </c>
      <c r="F184" s="11">
        <f t="shared" si="3"/>
        <v>35.71</v>
      </c>
    </row>
    <row r="185" spans="2:16" s="5" customFormat="1" thickTop="1" thickBot="1" x14ac:dyDescent="0.25">
      <c r="B185" s="6">
        <v>5</v>
      </c>
      <c r="C185" s="6" t="s">
        <v>14</v>
      </c>
      <c r="D185" s="6" t="s">
        <v>3</v>
      </c>
      <c r="E185" s="61">
        <f>SUM(ديسمبر!E185+نوفمبر!E185+'اكتوبر '!E185+سبتمبر!E185+اغسطس!E185+يوليو!E185+يونيو!E185+مايو!E185+ابريل!E185+مارس!E185+فبراير!E185+يناير!E185)</f>
        <v>197429.43100000001</v>
      </c>
      <c r="F185" s="11">
        <f t="shared" si="3"/>
        <v>197.42943100000002</v>
      </c>
    </row>
    <row r="186" spans="2:16" s="5" customFormat="1" thickTop="1" thickBot="1" x14ac:dyDescent="0.25">
      <c r="B186" s="6">
        <v>6</v>
      </c>
      <c r="C186" s="6" t="s">
        <v>15</v>
      </c>
      <c r="D186" s="6" t="s">
        <v>3</v>
      </c>
      <c r="E186" s="61">
        <f>SUM(ديسمبر!E186+نوفمبر!E186+'اكتوبر '!E186+سبتمبر!E186+اغسطس!E186+يوليو!E186+يونيو!E186+مايو!E186+ابريل!E186+مارس!E186+فبراير!E186+يناير!E186)</f>
        <v>35898</v>
      </c>
      <c r="F186" s="11">
        <f t="shared" si="3"/>
        <v>35.898000000000003</v>
      </c>
    </row>
    <row r="187" spans="2:16" s="5" customFormat="1" thickTop="1" thickBot="1" x14ac:dyDescent="0.25">
      <c r="B187" s="6">
        <v>8</v>
      </c>
      <c r="C187" s="6" t="s">
        <v>116</v>
      </c>
      <c r="D187" s="6" t="s">
        <v>3</v>
      </c>
      <c r="E187" s="61">
        <f>SUM(ديسمبر!E187+نوفمبر!E187+'اكتوبر '!E187+سبتمبر!E187+اغسطس!E187+يوليو!E187+يونيو!E187+مايو!E187+ابريل!E187+مارس!E187+فبراير!E187+يناير!E187)</f>
        <v>0</v>
      </c>
      <c r="F187" s="11">
        <f t="shared" si="3"/>
        <v>0</v>
      </c>
    </row>
    <row r="188" spans="2:16" s="5" customFormat="1" thickTop="1" thickBot="1" x14ac:dyDescent="0.25">
      <c r="B188" s="6">
        <v>9</v>
      </c>
      <c r="C188" s="6" t="s">
        <v>115</v>
      </c>
      <c r="D188" s="6" t="s">
        <v>3</v>
      </c>
      <c r="E188" s="61">
        <f>SUM(ديسمبر!E188+نوفمبر!E188+'اكتوبر '!E188+سبتمبر!E188+اغسطس!E188+يوليو!E188+يونيو!E188+مايو!E188+ابريل!E188+مارس!E188+فبراير!E188+يناير!E188)</f>
        <v>142800</v>
      </c>
      <c r="F188" s="11">
        <f t="shared" si="3"/>
        <v>142.80000000000001</v>
      </c>
    </row>
    <row r="189" spans="2:16" s="5" customFormat="1" thickTop="1" thickBot="1" x14ac:dyDescent="0.25">
      <c r="B189" s="6">
        <v>10</v>
      </c>
      <c r="C189" s="6" t="s">
        <v>114</v>
      </c>
      <c r="D189" s="6" t="s">
        <v>3</v>
      </c>
      <c r="E189" s="61">
        <f>SUM(ديسمبر!E189+نوفمبر!E189+'اكتوبر '!E189+سبتمبر!E189+اغسطس!E189+يوليو!E189+يونيو!E189+مايو!E189+ابريل!E189+مارس!E189+فبراير!E189+يناير!E189)</f>
        <v>0</v>
      </c>
      <c r="F189" s="11">
        <f t="shared" si="3"/>
        <v>0</v>
      </c>
    </row>
    <row r="190" spans="2:16" s="5" customFormat="1" thickTop="1" thickBot="1" x14ac:dyDescent="0.25">
      <c r="B190" s="6">
        <v>11</v>
      </c>
      <c r="C190" s="6" t="s">
        <v>61</v>
      </c>
      <c r="D190" s="6" t="s">
        <v>3</v>
      </c>
      <c r="E190" s="61">
        <f>SUM(ديسمبر!E190+نوفمبر!E190+'اكتوبر '!E190+سبتمبر!E190+اغسطس!E190+يوليو!E190+يونيو!E190+مايو!E190+ابريل!E190+مارس!E190+فبراير!E190+يناير!E190)</f>
        <v>0</v>
      </c>
      <c r="F190" s="11">
        <f t="shared" si="3"/>
        <v>0</v>
      </c>
    </row>
    <row r="191" spans="2:16" s="5" customFormat="1" ht="17.25" customHeight="1" thickTop="1" thickBot="1" x14ac:dyDescent="0.25">
      <c r="B191" s="74" t="s">
        <v>86</v>
      </c>
      <c r="C191" s="75"/>
      <c r="D191" s="76"/>
      <c r="E191" s="36">
        <f>SUM(E181:E190)</f>
        <v>578937.43099999998</v>
      </c>
      <c r="F191" s="37">
        <f>SUM(F181:F190)</f>
        <v>578.93743100000006</v>
      </c>
    </row>
    <row r="192" spans="2:16" s="5" customFormat="1" ht="17.25" customHeight="1" thickTop="1" thickBot="1" x14ac:dyDescent="0.25">
      <c r="B192" s="71" t="s">
        <v>142</v>
      </c>
      <c r="C192" s="72"/>
      <c r="D192" s="72"/>
      <c r="E192" s="72"/>
      <c r="F192" s="73"/>
    </row>
    <row r="193" spans="2:16" s="5" customFormat="1" ht="27" thickTop="1" thickBot="1" x14ac:dyDescent="0.25">
      <c r="B193" s="6">
        <v>12</v>
      </c>
      <c r="C193" s="9" t="s">
        <v>119</v>
      </c>
      <c r="D193" s="6" t="s">
        <v>42</v>
      </c>
      <c r="E193" s="61">
        <f>SUM(ديسمبر!E193+نوفمبر!E193+'اكتوبر '!E193+سبتمبر!E193+اغسطس!E193+يوليو!E193+يونيو!E193+مايو!E193+ابريل!E193+مارس!E193+فبراير!E193+يناير!E193)</f>
        <v>0</v>
      </c>
      <c r="F193" s="22"/>
    </row>
    <row r="194" spans="2:16" s="5" customFormat="1" thickTop="1" thickBot="1" x14ac:dyDescent="0.25">
      <c r="B194" s="6">
        <v>13</v>
      </c>
      <c r="C194" s="6" t="s">
        <v>18</v>
      </c>
      <c r="D194" s="6" t="s">
        <v>42</v>
      </c>
      <c r="E194" s="61">
        <f>SUM(ديسمبر!E194+نوفمبر!E194+'اكتوبر '!E194+سبتمبر!E194+اغسطس!E194+يوليو!E194+يونيو!E194+مايو!E194+ابريل!E194+مارس!E194+فبراير!E194+يناير!E194)</f>
        <v>0</v>
      </c>
      <c r="F194" s="22"/>
    </row>
    <row r="195" spans="2:16" s="5" customFormat="1" thickTop="1" thickBot="1" x14ac:dyDescent="0.25"/>
    <row r="196" spans="2:16" s="5" customFormat="1" thickTop="1" thickBot="1" x14ac:dyDescent="0.25">
      <c r="B196" s="47" t="s">
        <v>0</v>
      </c>
      <c r="C196" s="77" t="s">
        <v>5</v>
      </c>
      <c r="D196" s="78"/>
      <c r="E196" s="78"/>
      <c r="F196" s="78"/>
      <c r="G196" s="78"/>
      <c r="H196" s="10"/>
      <c r="I196" s="7"/>
      <c r="J196" s="7"/>
      <c r="K196" s="7"/>
      <c r="L196" s="70"/>
      <c r="M196" s="70"/>
      <c r="N196" s="70"/>
      <c r="O196" s="70"/>
      <c r="P196" s="70"/>
    </row>
    <row r="197" spans="2:16" s="5" customFormat="1" thickTop="1" thickBot="1" x14ac:dyDescent="0.25">
      <c r="B197" s="6">
        <v>1</v>
      </c>
      <c r="C197" s="67" t="str">
        <f>CONCATENATE(يناير!C197,فبراير!C197,مارس!C197,ابريل!C197,مايو!C197,يونيو!C197,يوليو!C197,اغسطس!C197,سبتمبر!C197,نوفمبر!C197,'اكتوبر '!C197:G197,ديسمبر!C197)</f>
        <v>الاماراتالاماراتاسبانيا/الامارات/كورياالاماراتالاماراتالامارات</v>
      </c>
      <c r="D197" s="68"/>
      <c r="E197" s="68"/>
      <c r="F197" s="68"/>
      <c r="G197" s="69"/>
      <c r="H197" s="7"/>
      <c r="I197" s="7"/>
      <c r="J197" s="7"/>
      <c r="K197" s="7"/>
      <c r="L197" s="70"/>
      <c r="M197" s="70"/>
      <c r="N197" s="70"/>
      <c r="O197" s="70"/>
      <c r="P197" s="70"/>
    </row>
    <row r="198" spans="2:16" s="5" customFormat="1" thickTop="1" thickBot="1" x14ac:dyDescent="0.25">
      <c r="B198" s="6">
        <v>2</v>
      </c>
      <c r="C198" s="67" t="str">
        <f>CONCATENATE(يناير!C198,فبراير!C198,مارس!C198,ابريل!C198,مايو!C198,يونيو!C198,يوليو!C198,اغسطس!C198,سبتمبر!C198,نوفمبر!C198,'اكتوبر '!C198:G198,ديسمبر!C198)</f>
        <v>بلغاريا</v>
      </c>
      <c r="D198" s="68"/>
      <c r="E198" s="68"/>
      <c r="F198" s="68"/>
      <c r="G198" s="69"/>
      <c r="H198" s="7"/>
      <c r="I198" s="7"/>
      <c r="J198" s="7"/>
      <c r="K198" s="7"/>
      <c r="L198" s="70"/>
      <c r="M198" s="70"/>
      <c r="N198" s="70"/>
      <c r="O198" s="70"/>
      <c r="P198" s="70"/>
    </row>
    <row r="199" spans="2:16" s="5" customFormat="1" thickTop="1" thickBot="1" x14ac:dyDescent="0.25">
      <c r="B199" s="6">
        <v>3</v>
      </c>
      <c r="C199" s="67" t="str">
        <f>CONCATENATE(يناير!C199,فبراير!C199,مارس!C199,ابريل!C199,مايو!C199,يونيو!C199,يوليو!C199,اغسطس!C199,سبتمبر!C199,نوفمبر!C199,'اكتوبر '!C199:G199,ديسمبر!C199)</f>
        <v/>
      </c>
      <c r="D199" s="68"/>
      <c r="E199" s="68"/>
      <c r="F199" s="68"/>
      <c r="G199" s="69"/>
      <c r="H199" s="7"/>
      <c r="I199" s="7"/>
      <c r="J199" s="7"/>
      <c r="K199" s="7"/>
      <c r="L199" s="70"/>
      <c r="M199" s="70"/>
      <c r="N199" s="70"/>
      <c r="O199" s="70"/>
      <c r="P199" s="70"/>
    </row>
    <row r="200" spans="2:16" s="5" customFormat="1" thickTop="1" thickBot="1" x14ac:dyDescent="0.25">
      <c r="B200" s="6">
        <v>4</v>
      </c>
      <c r="C200" s="67" t="str">
        <f>CONCATENATE(يناير!C200,فبراير!C200,مارس!C200,ابريل!C200,مايو!C200,يونيو!C200,يوليو!C200,اغسطس!C200,سبتمبر!C200,نوفمبر!C200,'اكتوبر '!C200:G200,ديسمبر!C200)</f>
        <v>المملكة المتحدهالاماراتهولندا</v>
      </c>
      <c r="D200" s="68"/>
      <c r="E200" s="68"/>
      <c r="F200" s="68"/>
      <c r="G200" s="69"/>
      <c r="H200" s="7"/>
      <c r="I200" s="7"/>
      <c r="J200" s="7"/>
      <c r="K200" s="7"/>
      <c r="L200" s="70"/>
      <c r="M200" s="70"/>
      <c r="N200" s="70"/>
      <c r="O200" s="70"/>
      <c r="P200" s="70"/>
    </row>
    <row r="201" spans="2:16" s="5" customFormat="1" thickTop="1" thickBot="1" x14ac:dyDescent="0.25">
      <c r="B201" s="6">
        <v>5</v>
      </c>
      <c r="C201" s="67" t="str">
        <f>CONCATENATE(يناير!C201,فبراير!C201,مارس!C201,ابريل!C201,مايو!C201,يونيو!C201,يوليو!C201,اغسطس!C201,سبتمبر!C201,نوفمبر!C201,'اكتوبر '!C201:G201,ديسمبر!C201)</f>
        <v xml:space="preserve">تايلاند - كندا - المانيا - الصين - فرنسا - نيوزيلاندا - المملكة المتحدة - الولايات المتحدة - التشيكالمجر – تايلاند – فرنسا – استراليا – جمهورية التشيك – الصين – هولندا - المملكة المتحده فرنسا/استراليا/هنقاريا/انجلترا/الصين/هولندا/اليونان/المانيا/تايلندتايلاند/هولندا/المجر/الصين/فرنسا/نيوزيلاند/المملكة المتحدة/الولايات المتحدة/ التشيك/استراليا/ايطاليااستراليا-الصين-المانيا-المجر-المملكة المتحدة-اليونان-تايلند-فرنسا-هولنداالمجر – تايلاند – فرنسا – استراليا – جمهورية التشيك </v>
      </c>
      <c r="D201" s="68"/>
      <c r="E201" s="68"/>
      <c r="F201" s="68"/>
      <c r="G201" s="69"/>
      <c r="H201" s="7"/>
      <c r="I201" s="7"/>
      <c r="J201" s="7"/>
      <c r="K201" s="7"/>
      <c r="L201" s="70"/>
      <c r="M201" s="70"/>
      <c r="N201" s="70"/>
      <c r="O201" s="70"/>
      <c r="P201" s="70"/>
    </row>
    <row r="202" spans="2:16" s="5" customFormat="1" ht="19.5" customHeight="1" thickTop="1" thickBot="1" x14ac:dyDescent="0.25">
      <c r="B202" s="6">
        <v>6</v>
      </c>
      <c r="C202" s="67" t="str">
        <f>CONCATENATE(يناير!C202,فبراير!C202,مارس!C202,ابريل!C202,مايو!C202,يونيو!C202,يوليو!C202,اغسطس!C202,سبتمبر!C202,نوفمبر!C202,'اكتوبر '!C202:G202,ديسمبر!C202)</f>
        <v>الامارات - المانيا - بلغاريااسبانيا - كوريا الجنوبيةالمانيا/بلغاريا/الصين/الهند/المملكة المتحدة/كوريا الجنوبية/التشيك/الاماراترومانيا/المملكة المتحدة/الصين/ايطاليا/اسبانيا/المانيا</v>
      </c>
      <c r="D202" s="68"/>
      <c r="E202" s="68"/>
      <c r="F202" s="68"/>
      <c r="G202" s="69"/>
      <c r="H202" s="7"/>
      <c r="I202" s="7"/>
      <c r="J202" s="7"/>
      <c r="K202" s="7"/>
      <c r="L202" s="70"/>
      <c r="M202" s="70"/>
      <c r="N202" s="70"/>
      <c r="O202" s="70"/>
      <c r="P202" s="70"/>
    </row>
    <row r="203" spans="2:16" s="5" customFormat="1" ht="19.5" customHeight="1" thickTop="1" thickBot="1" x14ac:dyDescent="0.25">
      <c r="B203" s="6">
        <v>7</v>
      </c>
      <c r="C203" s="67" t="str">
        <f>CONCATENATE(يناير!C203,فبراير!C203,مارس!C203,ابريل!C203,مايو!C203,يونيو!C203,يوليو!C203,اغسطس!C203,سبتمبر!C203,نوفمبر!C203,'اكتوبر '!C203:G203,ديسمبر!C203)</f>
        <v/>
      </c>
      <c r="D203" s="68"/>
      <c r="E203" s="68"/>
      <c r="F203" s="68"/>
      <c r="G203" s="69"/>
      <c r="H203" s="7"/>
      <c r="I203" s="7"/>
      <c r="J203" s="7"/>
      <c r="K203" s="7"/>
      <c r="L203" s="70"/>
      <c r="M203" s="70"/>
      <c r="N203" s="70"/>
      <c r="O203" s="70"/>
      <c r="P203" s="70"/>
    </row>
    <row r="204" spans="2:16" s="5" customFormat="1" ht="19.5" customHeight="1" thickTop="1" thickBot="1" x14ac:dyDescent="0.25">
      <c r="B204" s="6">
        <v>8</v>
      </c>
      <c r="C204" s="67" t="str">
        <f>CONCATENATE(يناير!C204,فبراير!C204,مارس!C204,ابريل!C204,مايو!C204,يونيو!C204,يوليو!C204,اغسطس!C204,سبتمبر!C204,نوفمبر!C204,'اكتوبر '!C204:G204,ديسمبر!C204)</f>
        <v/>
      </c>
      <c r="D204" s="68"/>
      <c r="E204" s="68"/>
      <c r="F204" s="68"/>
      <c r="G204" s="69"/>
      <c r="H204" s="7"/>
      <c r="I204" s="7"/>
      <c r="J204" s="7"/>
      <c r="K204" s="7"/>
      <c r="L204" s="70"/>
      <c r="M204" s="70"/>
      <c r="N204" s="70"/>
      <c r="O204" s="70"/>
      <c r="P204" s="70"/>
    </row>
    <row r="205" spans="2:16" s="5" customFormat="1" ht="19.5" customHeight="1" thickTop="1" thickBot="1" x14ac:dyDescent="0.25">
      <c r="B205" s="6">
        <v>9</v>
      </c>
      <c r="C205" s="67" t="str">
        <f>CONCATENATE(يناير!C205,فبراير!C205,مارس!C205,ابريل!C205,مايو!C205,يونيو!C205,يوليو!C205,اغسطس!C205,سبتمبر!C205,نوفمبر!C205,'اكتوبر '!C205:G205,ديسمبر!C205)</f>
        <v>اليونان الدنماركعمان</v>
      </c>
      <c r="D205" s="68"/>
      <c r="E205" s="68"/>
      <c r="F205" s="68"/>
      <c r="G205" s="69"/>
      <c r="H205" s="7"/>
      <c r="I205" s="7"/>
      <c r="J205" s="7"/>
      <c r="K205" s="7"/>
      <c r="L205" s="70"/>
      <c r="M205" s="70"/>
      <c r="N205" s="70"/>
      <c r="O205" s="70"/>
      <c r="P205" s="70"/>
    </row>
    <row r="206" spans="2:16" s="5" customFormat="1" ht="19.5" customHeight="1" thickTop="1" thickBot="1" x14ac:dyDescent="0.25">
      <c r="B206" s="6">
        <v>10</v>
      </c>
      <c r="C206" s="67" t="str">
        <f>CONCATENATE(يناير!C206,فبراير!C206,مارس!C206,ابريل!C206,مايو!C206,يونيو!C206,يوليو!C206,اغسطس!C206,سبتمبر!C206,نوفمبر!C206,'اكتوبر '!C206:G206,ديسمبر!C206)</f>
        <v/>
      </c>
      <c r="D206" s="68"/>
      <c r="E206" s="68"/>
      <c r="F206" s="68"/>
      <c r="G206" s="69"/>
      <c r="H206" s="7"/>
      <c r="I206" s="7"/>
      <c r="J206" s="7"/>
      <c r="K206" s="7"/>
      <c r="L206" s="70"/>
      <c r="M206" s="70"/>
      <c r="N206" s="70"/>
      <c r="O206" s="70"/>
      <c r="P206" s="70"/>
    </row>
    <row r="207" spans="2:16" s="5" customFormat="1" ht="19.5" customHeight="1" thickTop="1" thickBot="1" x14ac:dyDescent="0.25">
      <c r="B207" s="6">
        <v>11</v>
      </c>
      <c r="C207" s="67" t="str">
        <f>CONCATENATE(يناير!C207,فبراير!C207,مارس!C207,ابريل!C207,مايو!C207,يونيو!C207,يوليو!C207,اغسطس!C207,سبتمبر!C207,نوفمبر!C207,'اكتوبر '!C207:G207,ديسمبر!C207)</f>
        <v/>
      </c>
      <c r="D207" s="68"/>
      <c r="E207" s="68"/>
      <c r="F207" s="68"/>
      <c r="G207" s="69"/>
      <c r="H207" s="7"/>
      <c r="I207" s="7"/>
      <c r="J207" s="7"/>
      <c r="K207" s="7"/>
      <c r="L207" s="70"/>
      <c r="M207" s="70"/>
      <c r="N207" s="70"/>
      <c r="O207" s="70"/>
      <c r="P207" s="70"/>
    </row>
    <row r="208" spans="2:16" s="5" customFormat="1" ht="19.5" customHeight="1" thickTop="1" thickBot="1" x14ac:dyDescent="0.25">
      <c r="B208" s="6">
        <v>12</v>
      </c>
      <c r="C208" s="67" t="str">
        <f>CONCATENATE(يناير!C208,فبراير!C208,مارس!C208,ابريل!C208,مايو!C208,يونيو!C208,يوليو!C208,اغسطس!C208,سبتمبر!C208,نوفمبر!C208,'اكتوبر '!C208:G208,ديسمبر!C208)</f>
        <v/>
      </c>
      <c r="D208" s="68"/>
      <c r="E208" s="68"/>
      <c r="F208" s="68"/>
      <c r="G208" s="69"/>
      <c r="H208" s="7"/>
      <c r="I208" s="7"/>
      <c r="J208" s="7"/>
      <c r="K208" s="7"/>
      <c r="L208" s="7"/>
      <c r="M208" s="7"/>
      <c r="N208" s="7"/>
      <c r="O208" s="7"/>
      <c r="P208" s="7"/>
    </row>
    <row r="209" spans="2:16" s="5" customFormat="1" ht="19.5" customHeight="1" thickTop="1" thickBot="1" x14ac:dyDescent="0.25">
      <c r="B209" s="6">
        <v>13</v>
      </c>
      <c r="C209" s="67" t="str">
        <f>CONCATENATE(يناير!C209,فبراير!C209,مارس!C209,ابريل!C209,مايو!C209,يونيو!C209,يوليو!C209,اغسطس!C209,سبتمبر!C209,نوفمبر!C209,'اكتوبر '!C209:G209,ديسمبر!C209)</f>
        <v/>
      </c>
      <c r="D209" s="68"/>
      <c r="E209" s="68"/>
      <c r="F209" s="68"/>
      <c r="G209" s="69"/>
      <c r="H209" s="7"/>
      <c r="I209" s="7"/>
      <c r="J209" s="7"/>
      <c r="K209" s="7"/>
      <c r="L209" s="70"/>
      <c r="M209" s="70"/>
      <c r="N209" s="70"/>
      <c r="O209" s="70"/>
      <c r="P209" s="70"/>
    </row>
    <row r="210" spans="2:16" s="5" customFormat="1" ht="19.5" customHeight="1" thickTop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2:16" s="5" customFormat="1" ht="19.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2:16" s="5" customFormat="1" ht="13.5" thickBot="1" x14ac:dyDescent="0.25"/>
    <row r="213" spans="2:16" s="5" customFormat="1" ht="17.25" thickTop="1" thickBot="1" x14ac:dyDescent="0.25">
      <c r="B213" s="71" t="s">
        <v>143</v>
      </c>
      <c r="C213" s="72"/>
      <c r="D213" s="72"/>
      <c r="E213" s="72"/>
      <c r="F213" s="72"/>
      <c r="G213" s="4"/>
    </row>
    <row r="214" spans="2:16" s="5" customFormat="1" thickTop="1" thickBot="1" x14ac:dyDescent="0.25">
      <c r="B214" s="48" t="s">
        <v>0</v>
      </c>
      <c r="C214" s="48" t="s">
        <v>44</v>
      </c>
      <c r="D214" s="48" t="s">
        <v>11</v>
      </c>
      <c r="E214" s="48" t="s">
        <v>122</v>
      </c>
      <c r="F214" s="49" t="s">
        <v>84</v>
      </c>
      <c r="G214" s="4"/>
    </row>
    <row r="215" spans="2:16" s="5" customFormat="1" thickTop="1" thickBot="1" x14ac:dyDescent="0.25">
      <c r="B215" s="6">
        <v>1</v>
      </c>
      <c r="C215" s="6" t="s">
        <v>20</v>
      </c>
      <c r="D215" s="6" t="s">
        <v>62</v>
      </c>
      <c r="E215" s="61">
        <f>SUM(ديسمبر!E215+نوفمبر!E215+'اكتوبر '!E215+سبتمبر!E215+اغسطس!E215+يوليو!E215+يونيو!E215+مايو!E215+ابريل!E215+مارس!E215+فبراير!E215+يناير!E215)</f>
        <v>15823486</v>
      </c>
      <c r="F215" s="22"/>
    </row>
    <row r="216" spans="2:16" s="5" customFormat="1" ht="17.25" customHeight="1" thickTop="1" thickBot="1" x14ac:dyDescent="0.25">
      <c r="B216" s="71" t="s">
        <v>144</v>
      </c>
      <c r="C216" s="72"/>
      <c r="D216" s="72"/>
      <c r="E216" s="72"/>
      <c r="F216" s="73"/>
    </row>
    <row r="217" spans="2:16" s="5" customFormat="1" thickTop="1" thickBot="1" x14ac:dyDescent="0.25">
      <c r="B217" s="6">
        <v>2</v>
      </c>
      <c r="C217" s="6" t="s">
        <v>19</v>
      </c>
      <c r="D217" s="6" t="s">
        <v>3</v>
      </c>
      <c r="E217" s="61">
        <f>SUM(ديسمبر!E217+نوفمبر!E217+'اكتوبر '!E217+سبتمبر!E217+اغسطس!E217+يوليو!E217+يونيو!E217+مايو!E217+ابريل!E217+مارس!E217+فبراير!E217+يناير!E217)</f>
        <v>111739</v>
      </c>
      <c r="F217" s="11">
        <f t="shared" ref="F217:F223" si="4">E217/1000</f>
        <v>111.739</v>
      </c>
    </row>
    <row r="218" spans="2:16" s="5" customFormat="1" thickTop="1" thickBot="1" x14ac:dyDescent="0.25">
      <c r="B218" s="6">
        <v>3</v>
      </c>
      <c r="C218" s="6" t="s">
        <v>21</v>
      </c>
      <c r="D218" s="6" t="s">
        <v>3</v>
      </c>
      <c r="E218" s="61">
        <f>SUM(ديسمبر!E218+نوفمبر!E218+'اكتوبر '!E218+سبتمبر!E218+اغسطس!E218+يوليو!E218+يونيو!E218+مايو!E218+ابريل!E218+مارس!E218+فبراير!E218+يناير!E218)</f>
        <v>73049</v>
      </c>
      <c r="F218" s="11">
        <f t="shared" si="4"/>
        <v>73.049000000000007</v>
      </c>
    </row>
    <row r="219" spans="2:16" s="5" customFormat="1" thickTop="1" thickBot="1" x14ac:dyDescent="0.25">
      <c r="B219" s="6">
        <v>4</v>
      </c>
      <c r="C219" s="6" t="s">
        <v>22</v>
      </c>
      <c r="D219" s="6" t="s">
        <v>3</v>
      </c>
      <c r="E219" s="61">
        <f>SUM(ديسمبر!E219+نوفمبر!E219+'اكتوبر '!E219+سبتمبر!E219+اغسطس!E219+يوليو!E219+يونيو!E219+مايو!E219+ابريل!E219+مارس!E219+فبراير!E219+يناير!E219)</f>
        <v>72</v>
      </c>
      <c r="F219" s="11">
        <f t="shared" si="4"/>
        <v>7.1999999999999995E-2</v>
      </c>
    </row>
    <row r="220" spans="2:16" s="5" customFormat="1" thickTop="1" thickBot="1" x14ac:dyDescent="0.25">
      <c r="B220" s="6">
        <v>5</v>
      </c>
      <c r="C220" s="6" t="s">
        <v>23</v>
      </c>
      <c r="D220" s="6" t="s">
        <v>3</v>
      </c>
      <c r="E220" s="61">
        <f>SUM(ديسمبر!E220+نوفمبر!E220+'اكتوبر '!E220+سبتمبر!E220+اغسطس!E220+يوليو!E220+يونيو!E220+مايو!E220+ابريل!E220+مارس!E220+فبراير!E220+يناير!E220)</f>
        <v>6110</v>
      </c>
      <c r="F220" s="11">
        <f t="shared" si="4"/>
        <v>6.11</v>
      </c>
    </row>
    <row r="221" spans="2:16" s="5" customFormat="1" thickTop="1" thickBot="1" x14ac:dyDescent="0.25">
      <c r="B221" s="6">
        <v>6</v>
      </c>
      <c r="C221" s="6" t="s">
        <v>24</v>
      </c>
      <c r="D221" s="6" t="s">
        <v>3</v>
      </c>
      <c r="E221" s="61">
        <f>SUM(ديسمبر!E221+نوفمبر!E221+'اكتوبر '!E221+سبتمبر!E221+اغسطس!E221+يوليو!E221+يونيو!E221+مايو!E221+ابريل!E221+مارس!E221+فبراير!E221+يناير!E221)</f>
        <v>2153</v>
      </c>
      <c r="F221" s="11">
        <f t="shared" si="4"/>
        <v>2.153</v>
      </c>
    </row>
    <row r="222" spans="2:16" s="5" customFormat="1" thickTop="1" thickBot="1" x14ac:dyDescent="0.25">
      <c r="B222" s="6">
        <v>7</v>
      </c>
      <c r="C222" s="6" t="s">
        <v>25</v>
      </c>
      <c r="D222" s="6" t="s">
        <v>3</v>
      </c>
      <c r="E222" s="61">
        <f>SUM(ديسمبر!E222+نوفمبر!E222+'اكتوبر '!E222+سبتمبر!E222+اغسطس!E222+يوليو!E222+يونيو!E222+مايو!E222+ابريل!E222+مارس!E222+فبراير!E222+يناير!E222)</f>
        <v>0</v>
      </c>
      <c r="F222" s="11">
        <f t="shared" si="4"/>
        <v>0</v>
      </c>
    </row>
    <row r="223" spans="2:16" s="5" customFormat="1" thickTop="1" thickBot="1" x14ac:dyDescent="0.25">
      <c r="B223" s="6">
        <v>8</v>
      </c>
      <c r="C223" s="6" t="s">
        <v>26</v>
      </c>
      <c r="D223" s="6" t="s">
        <v>3</v>
      </c>
      <c r="E223" s="61">
        <f>SUM(ديسمبر!E223+نوفمبر!E223+'اكتوبر '!E223+سبتمبر!E223+اغسطس!E223+يوليو!E223+يونيو!E223+مايو!E223+ابريل!E223+مارس!E223+فبراير!E223+يناير!E223)</f>
        <v>101381.9</v>
      </c>
      <c r="F223" s="11">
        <f t="shared" si="4"/>
        <v>101.38189999999999</v>
      </c>
    </row>
    <row r="224" spans="2:16" s="5" customFormat="1" ht="17.25" customHeight="1" thickTop="1" thickBot="1" x14ac:dyDescent="0.25">
      <c r="B224" s="74" t="s">
        <v>80</v>
      </c>
      <c r="C224" s="75"/>
      <c r="D224" s="76"/>
      <c r="E224" s="42">
        <f>SUM(E217:E223)</f>
        <v>294504.90000000002</v>
      </c>
      <c r="F224" s="43">
        <f>SUM(F217:F223)</f>
        <v>294.50490000000002</v>
      </c>
      <c r="G224" s="4"/>
    </row>
    <row r="225" spans="2:16" s="5" customFormat="1" thickTop="1" thickBot="1" x14ac:dyDescent="0.25">
      <c r="F225" s="23"/>
    </row>
    <row r="226" spans="2:16" s="5" customFormat="1" thickTop="1" thickBot="1" x14ac:dyDescent="0.25">
      <c r="B226" s="47" t="s">
        <v>0</v>
      </c>
      <c r="C226" s="77" t="s">
        <v>5</v>
      </c>
      <c r="D226" s="78"/>
      <c r="E226" s="78"/>
      <c r="F226" s="78"/>
      <c r="G226" s="79"/>
      <c r="H226" s="10"/>
      <c r="I226" s="7"/>
      <c r="J226" s="7"/>
      <c r="K226" s="7"/>
      <c r="L226" s="70"/>
      <c r="M226" s="70"/>
      <c r="N226" s="70"/>
      <c r="O226" s="70"/>
      <c r="P226" s="70"/>
    </row>
    <row r="227" spans="2:16" s="5" customFormat="1" thickTop="1" thickBot="1" x14ac:dyDescent="0.25">
      <c r="B227" s="6">
        <v>1</v>
      </c>
      <c r="C227" s="67" t="str">
        <f>CONCATENATE(يناير!C227,فبراير!C227,مارس!C227,ابريل!C227,مايو!C227,يونيو!C227,يوليو!C227,اغسطس!C227,سبتمبر!C227,نوفمبر!C227,'اكتوبر '!C227:G227,ديسمبر!C227)</f>
        <v>سلوفاكيا -فرنسا - المكسيك - الولايات المتحدة - كوريا  الجنوبيةامريكا - فرنساالمغرب/امريكا/ايطاليا/التشيك/المملكة الكتحدة/كوريا الجنوبية/فرنسا/المكسيك/استراليا/سلوفاكياسلوفاكيا / كوريا الجنوبية / فرنسا / الولايات المتحده /المغرب/الصينالمملكة المتحدة-سلوفاكيا-فرنسا-كرواتياالولايات المتحده - ايطاليا - فرنسا</v>
      </c>
      <c r="D227" s="68"/>
      <c r="E227" s="68"/>
      <c r="F227" s="68"/>
      <c r="G227" s="69"/>
      <c r="H227" s="7"/>
      <c r="I227" s="7"/>
      <c r="J227" s="7"/>
      <c r="K227" s="7"/>
      <c r="L227" s="70"/>
      <c r="M227" s="70"/>
      <c r="N227" s="70"/>
      <c r="O227" s="70"/>
      <c r="P227" s="70"/>
    </row>
    <row r="228" spans="2:16" s="5" customFormat="1" thickTop="1" thickBot="1" x14ac:dyDescent="0.25">
      <c r="B228" s="6">
        <v>2</v>
      </c>
      <c r="C228" s="67" t="str">
        <f>CONCATENATE(يناير!C228,فبراير!C228,مارس!C228,ابريل!C228,مايو!C228,يونيو!C228,يوليو!C228,اغسطس!C228,سبتمبر!C228,نوفمبر!C228,'اكتوبر '!C228:G228,ديسمبر!C228)</f>
        <v>استونيا – الهند – ليتوانيا –هولندا – بلجيكا – كندا – ايطاليا –النمسا – البرازيل – اسبانيا- الصين – امريكا - روسياالامارات/اسبانيا/النمسا/امريكا/سلوفاكيا/كوريا الجنوبيةكندا / /اسبانيا/كوريا الجنوبية/ /الصين/بلغاريا/روسيا/البرازيل /تايلاند/المملكة المتحدة/الولايات المتحدة/فرنساأسبانيا-استراليا-الصين-الهند-تركيا-فيتنام-كوريا الجنوبية-مصرايطاليا-البرازيل-الهند- كندا- اسبانيا-– امريكا –استراليا-الاردن-بلجيكا-المانيا-فرنسا-الصين-صربيا-فيتنام</v>
      </c>
      <c r="D228" s="68"/>
      <c r="E228" s="68"/>
      <c r="F228" s="68"/>
      <c r="G228" s="69"/>
      <c r="H228" s="7"/>
      <c r="I228" s="7"/>
      <c r="J228" s="7"/>
      <c r="K228" s="7"/>
      <c r="L228" s="70"/>
      <c r="M228" s="70"/>
      <c r="N228" s="70"/>
      <c r="O228" s="70"/>
      <c r="P228" s="70"/>
    </row>
    <row r="229" spans="2:16" s="5" customFormat="1" thickTop="1" thickBot="1" x14ac:dyDescent="0.25">
      <c r="B229" s="6">
        <v>3</v>
      </c>
      <c r="C229" s="67" t="str">
        <f>CONCATENATE(يناير!C229,فبراير!C229,مارس!C229,ابريل!C229,مايو!C229,يونيو!C229,يوليو!C229,اغسطس!C229,سبتمبر!C229,نوفمبر!C229,'اكتوبر '!C229:G229,ديسمبر!C229)</f>
        <v>المانيا - كندا - بلجيكا - الهند - نيوزيلاند - استونيا - ليتوانيا - النمسا - الارجنتين - اسبانيا - كوريا الجنوبيه - الدنمارك - اليونان - تايلاند - المملكة المتحده - امريكا - فرنساجنوب افريقيا - عمانألمانيا-أسبانيا</v>
      </c>
      <c r="D229" s="68"/>
      <c r="E229" s="68"/>
      <c r="F229" s="68"/>
      <c r="G229" s="69"/>
      <c r="H229" s="7"/>
      <c r="I229" s="7"/>
      <c r="J229" s="7"/>
      <c r="K229" s="7"/>
      <c r="L229" s="70"/>
      <c r="M229" s="70"/>
      <c r="N229" s="70"/>
      <c r="O229" s="70"/>
      <c r="P229" s="70"/>
    </row>
    <row r="230" spans="2:16" s="5" customFormat="1" thickTop="1" thickBot="1" x14ac:dyDescent="0.25">
      <c r="B230" s="6">
        <v>4</v>
      </c>
      <c r="C230" s="67" t="str">
        <f>CONCATENATE(يناير!C230,فبراير!C230,مارس!C230,ابريل!C230,مايو!C230,يونيو!C230,يوليو!C230,اغسطس!C230,سبتمبر!C230,نوفمبر!C230,'اكتوبر '!C230:G230,ديسمبر!C230)</f>
        <v>فرنساالامارات</v>
      </c>
      <c r="D230" s="68"/>
      <c r="E230" s="68"/>
      <c r="F230" s="68"/>
      <c r="G230" s="69"/>
      <c r="H230" s="7"/>
      <c r="I230" s="7"/>
      <c r="J230" s="7"/>
      <c r="K230" s="7"/>
      <c r="L230" s="70"/>
      <c r="M230" s="70"/>
      <c r="N230" s="70"/>
      <c r="O230" s="70"/>
      <c r="P230" s="70"/>
    </row>
    <row r="231" spans="2:16" s="5" customFormat="1" thickTop="1" thickBot="1" x14ac:dyDescent="0.25">
      <c r="B231" s="6">
        <v>5</v>
      </c>
      <c r="C231" s="67" t="str">
        <f>CONCATENATE(يناير!C231,فبراير!C231,مارس!C231,ابريل!C231,مايو!C231,يونيو!C231,يوليو!C231,اغسطس!C231,سبتمبر!C231,نوفمبر!C231,'اكتوبر '!C231:G231,ديسمبر!C231)</f>
        <v>أسبانيا-أمريكا-إيطاليا-البرازيل-انجلترا-فيتنام-كوريا الجنوبية</v>
      </c>
      <c r="D231" s="68"/>
      <c r="E231" s="68"/>
      <c r="F231" s="68"/>
      <c r="G231" s="69"/>
      <c r="H231" s="7"/>
      <c r="I231" s="7"/>
      <c r="J231" s="7"/>
      <c r="K231" s="7"/>
      <c r="L231" s="70"/>
      <c r="M231" s="70"/>
      <c r="N231" s="70"/>
      <c r="O231" s="70"/>
      <c r="P231" s="70"/>
    </row>
    <row r="232" spans="2:16" s="5" customFormat="1" thickTop="1" thickBot="1" x14ac:dyDescent="0.25">
      <c r="B232" s="6">
        <v>6</v>
      </c>
      <c r="C232" s="67" t="str">
        <f>CONCATENATE(يناير!C232,فبراير!C232,مارس!C232,ابريل!C232,مايو!C232,يونيو!C232,يوليو!C232,اغسطس!C232,سبتمبر!C232,نوفمبر!C232,'اكتوبر '!C232:G232,ديسمبر!C232)</f>
        <v>فرنسا – امريكا - تركيافرنسا</v>
      </c>
      <c r="D232" s="68"/>
      <c r="E232" s="68"/>
      <c r="F232" s="68"/>
      <c r="G232" s="69"/>
      <c r="H232" s="7"/>
      <c r="I232" s="7"/>
      <c r="J232" s="7"/>
      <c r="K232" s="7"/>
      <c r="L232" s="70"/>
      <c r="M232" s="70"/>
      <c r="N232" s="70"/>
      <c r="O232" s="70"/>
      <c r="P232" s="70"/>
    </row>
    <row r="233" spans="2:16" s="5" customFormat="1" thickTop="1" thickBot="1" x14ac:dyDescent="0.25">
      <c r="B233" s="6">
        <v>7</v>
      </c>
      <c r="C233" s="67" t="str">
        <f>CONCATENATE(يناير!C233,فبراير!C233,مارس!C233,ابريل!C233,مايو!C233,يونيو!C233,يوليو!C233,اغسطس!C233,سبتمبر!C233,نوفمبر!C233,'اكتوبر '!C233:G233,ديسمبر!C233)</f>
        <v/>
      </c>
      <c r="D233" s="68"/>
      <c r="E233" s="68"/>
      <c r="F233" s="68"/>
      <c r="G233" s="69"/>
      <c r="H233" s="7"/>
      <c r="I233" s="7"/>
      <c r="J233" s="7"/>
      <c r="K233" s="7"/>
      <c r="L233" s="70"/>
      <c r="M233" s="70"/>
      <c r="N233" s="70"/>
      <c r="O233" s="70"/>
      <c r="P233" s="70"/>
    </row>
    <row r="234" spans="2:16" s="5" customFormat="1" thickTop="1" thickBot="1" x14ac:dyDescent="0.25">
      <c r="B234" s="6">
        <v>8</v>
      </c>
      <c r="C234" s="67" t="str">
        <f>CONCATENATE(يناير!C234,فبراير!C234,مارس!C234,ابريل!C234,مايو!C234,يونيو!C234,يوليو!C234,اغسطس!C234,سبتمبر!C234,نوفمبر!C234,'اكتوبر '!C234:G234,ديسمبر!C234)</f>
        <v>اسبانيا - المانياالمانيا - اسبانيااسبانيا/المانيااسبانيا-المانيا</v>
      </c>
      <c r="D234" s="68"/>
      <c r="E234" s="68"/>
      <c r="F234" s="68"/>
      <c r="G234" s="69"/>
      <c r="H234" s="7"/>
      <c r="I234" s="7"/>
      <c r="J234" s="7"/>
      <c r="K234" s="7"/>
      <c r="L234" s="70"/>
      <c r="M234" s="70"/>
      <c r="N234" s="70"/>
      <c r="O234" s="70"/>
      <c r="P234" s="70"/>
    </row>
    <row r="235" spans="2:16" s="5" customFormat="1" ht="13.5" thickTop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2:16" s="5" customFormat="1" ht="12.75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2:16" s="5" customFormat="1" ht="13.5" thickBot="1" x14ac:dyDescent="0.25"/>
    <row r="238" spans="2:16" s="5" customFormat="1" ht="21.75" customHeight="1" thickTop="1" thickBot="1" x14ac:dyDescent="0.25">
      <c r="B238" s="100" t="s">
        <v>39</v>
      </c>
      <c r="C238" s="101"/>
      <c r="D238" s="8"/>
      <c r="E238" s="8"/>
      <c r="F238" s="8"/>
      <c r="G238" s="8"/>
    </row>
    <row r="239" spans="2:16" s="5" customFormat="1" ht="14.25" customHeight="1" thickTop="1" thickBot="1" x14ac:dyDescent="0.25">
      <c r="B239" s="7"/>
      <c r="C239" s="7"/>
      <c r="D239" s="7"/>
      <c r="E239" s="7"/>
      <c r="F239" s="7"/>
      <c r="G239" s="7"/>
    </row>
    <row r="240" spans="2:16" s="5" customFormat="1" ht="17.25" thickTop="1" thickBot="1" x14ac:dyDescent="0.25">
      <c r="B240" s="71" t="s">
        <v>145</v>
      </c>
      <c r="C240" s="72"/>
      <c r="D240" s="72"/>
      <c r="E240" s="73"/>
    </row>
    <row r="241" spans="2:5" s="5" customFormat="1" thickTop="1" thickBot="1" x14ac:dyDescent="0.25">
      <c r="B241" s="46" t="s">
        <v>0</v>
      </c>
      <c r="C241" s="46" t="s">
        <v>43</v>
      </c>
      <c r="D241" s="46" t="s">
        <v>11</v>
      </c>
      <c r="E241" s="46" t="s">
        <v>82</v>
      </c>
    </row>
    <row r="242" spans="2:5" s="5" customFormat="1" thickTop="1" thickBot="1" x14ac:dyDescent="0.25">
      <c r="B242" s="6">
        <v>1</v>
      </c>
      <c r="C242" s="6" t="s">
        <v>31</v>
      </c>
      <c r="D242" s="6" t="s">
        <v>28</v>
      </c>
      <c r="E242" s="61">
        <f>SUM(ديسمبر!E242+نوفمبر!E242+'اكتوبر '!E242+سبتمبر!E242+اغسطس!E242+يوليو!E242+يونيو!E242+مايو!E242+ابريل!E242+مارس!E242+فبراير!E242+يناير!E242)</f>
        <v>0</v>
      </c>
    </row>
    <row r="243" spans="2:5" s="5" customFormat="1" thickTop="1" thickBot="1" x14ac:dyDescent="0.25">
      <c r="B243" s="6">
        <v>2</v>
      </c>
      <c r="C243" s="6" t="s">
        <v>29</v>
      </c>
      <c r="D243" s="6" t="s">
        <v>28</v>
      </c>
      <c r="E243" s="61">
        <f>SUM(ديسمبر!E243+نوفمبر!E243+'اكتوبر '!E243+سبتمبر!E243+اغسطس!E243+يوليو!E243+يونيو!E243+مايو!E243+ابريل!E243+مارس!E243+فبراير!E243+يناير!E243)</f>
        <v>0</v>
      </c>
    </row>
    <row r="244" spans="2:5" s="5" customFormat="1" thickTop="1" thickBot="1" x14ac:dyDescent="0.25">
      <c r="B244" s="6">
        <v>3</v>
      </c>
      <c r="C244" s="6" t="s">
        <v>71</v>
      </c>
      <c r="D244" s="6" t="s">
        <v>28</v>
      </c>
      <c r="E244" s="61">
        <f>SUM(ديسمبر!E244+نوفمبر!E244+'اكتوبر '!E244+سبتمبر!E244+اغسطس!E244+يوليو!E244+يونيو!E244+مايو!E244+ابريل!E244+مارس!E244+فبراير!E244+يناير!E244)</f>
        <v>0</v>
      </c>
    </row>
    <row r="245" spans="2:5" s="5" customFormat="1" thickTop="1" thickBot="1" x14ac:dyDescent="0.25">
      <c r="B245" s="6">
        <v>4</v>
      </c>
      <c r="C245" s="6" t="s">
        <v>30</v>
      </c>
      <c r="D245" s="6" t="s">
        <v>28</v>
      </c>
      <c r="E245" s="61">
        <f>SUM(ديسمبر!E245+نوفمبر!E245+'اكتوبر '!E245+سبتمبر!E245+اغسطس!E245+يوليو!E245+يونيو!E245+مايو!E245+ابريل!E245+مارس!E245+فبراير!E245+يناير!E245)</f>
        <v>0</v>
      </c>
    </row>
    <row r="246" spans="2:5" s="5" customFormat="1" thickTop="1" thickBot="1" x14ac:dyDescent="0.25">
      <c r="B246" s="6">
        <v>5</v>
      </c>
      <c r="C246" s="6" t="s">
        <v>27</v>
      </c>
      <c r="D246" s="6" t="s">
        <v>28</v>
      </c>
      <c r="E246" s="61">
        <f>SUM(ديسمبر!E246+نوفمبر!E246+'اكتوبر '!E246+سبتمبر!E246+اغسطس!E246+يوليو!E246+يونيو!E246+مايو!E246+ابريل!E246+مارس!E246+فبراير!E246+يناير!E246)</f>
        <v>0</v>
      </c>
    </row>
    <row r="247" spans="2:5" s="5" customFormat="1" thickTop="1" thickBot="1" x14ac:dyDescent="0.25">
      <c r="B247" s="6">
        <v>6</v>
      </c>
      <c r="C247" s="6" t="s">
        <v>47</v>
      </c>
      <c r="D247" s="6" t="s">
        <v>28</v>
      </c>
      <c r="E247" s="61">
        <f>SUM(ديسمبر!E247+نوفمبر!E247+'اكتوبر '!E247+سبتمبر!E247+اغسطس!E247+يوليو!E247+يونيو!E247+مايو!E247+ابريل!E247+مارس!E247+فبراير!E247+يناير!E247)</f>
        <v>0</v>
      </c>
    </row>
    <row r="248" spans="2:5" s="5" customFormat="1" thickTop="1" thickBot="1" x14ac:dyDescent="0.25">
      <c r="B248" s="6">
        <v>7</v>
      </c>
      <c r="C248" s="6" t="s">
        <v>48</v>
      </c>
      <c r="D248" s="6" t="s">
        <v>28</v>
      </c>
      <c r="E248" s="61">
        <f>SUM(ديسمبر!E248+نوفمبر!E248+'اكتوبر '!E248+سبتمبر!E248+اغسطس!E248+يوليو!E248+يونيو!E248+مايو!E248+ابريل!E248+مارس!E248+فبراير!E248+يناير!E248)</f>
        <v>0</v>
      </c>
    </row>
    <row r="249" spans="2:5" s="5" customFormat="1" thickTop="1" thickBot="1" x14ac:dyDescent="0.25">
      <c r="B249" s="6">
        <v>8</v>
      </c>
      <c r="C249" s="6" t="s">
        <v>32</v>
      </c>
      <c r="D249" s="6" t="s">
        <v>28</v>
      </c>
      <c r="E249" s="61">
        <f>SUM(ديسمبر!E249+نوفمبر!E249+'اكتوبر '!E249+سبتمبر!E249+اغسطس!E249+يوليو!E249+يونيو!E249+مايو!E249+ابريل!E249+مارس!E249+فبراير!E249+يناير!E249)</f>
        <v>0</v>
      </c>
    </row>
    <row r="250" spans="2:5" s="5" customFormat="1" thickTop="1" thickBot="1" x14ac:dyDescent="0.25">
      <c r="B250" s="6">
        <v>9</v>
      </c>
      <c r="C250" s="6" t="s">
        <v>33</v>
      </c>
      <c r="D250" s="6" t="s">
        <v>28</v>
      </c>
      <c r="E250" s="61">
        <f>SUM(ديسمبر!E250+نوفمبر!E250+'اكتوبر '!E250+سبتمبر!E250+اغسطس!E250+يوليو!E250+يونيو!E250+مايو!E250+ابريل!E250+مارس!E250+فبراير!E250+يناير!E250)</f>
        <v>0</v>
      </c>
    </row>
    <row r="251" spans="2:5" s="5" customFormat="1" thickTop="1" thickBot="1" x14ac:dyDescent="0.25">
      <c r="B251" s="6">
        <v>10</v>
      </c>
      <c r="C251" s="6" t="s">
        <v>34</v>
      </c>
      <c r="D251" s="6" t="s">
        <v>28</v>
      </c>
      <c r="E251" s="61">
        <f>SUM(ديسمبر!E251+نوفمبر!E251+'اكتوبر '!E251+سبتمبر!E251+اغسطس!E251+يوليو!E251+يونيو!E251+مايو!E251+ابريل!E251+مارس!E251+فبراير!E251+يناير!E251)</f>
        <v>0</v>
      </c>
    </row>
    <row r="252" spans="2:5" s="5" customFormat="1" thickTop="1" thickBot="1" x14ac:dyDescent="0.25">
      <c r="B252" s="6">
        <v>11</v>
      </c>
      <c r="C252" s="6" t="s">
        <v>35</v>
      </c>
      <c r="D252" s="6" t="s">
        <v>28</v>
      </c>
      <c r="E252" s="61">
        <f>SUM(ديسمبر!E252+نوفمبر!E252+'اكتوبر '!E252+سبتمبر!E252+اغسطس!E252+يوليو!E252+يونيو!E252+مايو!E252+ابريل!E252+مارس!E252+فبراير!E252+يناير!E252)</f>
        <v>0</v>
      </c>
    </row>
    <row r="253" spans="2:5" s="5" customFormat="1" thickTop="1" thickBot="1" x14ac:dyDescent="0.25">
      <c r="B253" s="6">
        <v>12</v>
      </c>
      <c r="C253" s="6" t="s">
        <v>49</v>
      </c>
      <c r="D253" s="6" t="s">
        <v>28</v>
      </c>
      <c r="E253" s="61">
        <f>SUM(ديسمبر!E253+نوفمبر!E253+'اكتوبر '!E253+سبتمبر!E253+اغسطس!E253+يوليو!E253+يونيو!E253+مايو!E253+ابريل!E253+مارس!E253+فبراير!E253+يناير!E253)</f>
        <v>0</v>
      </c>
    </row>
    <row r="254" spans="2:5" s="5" customFormat="1" ht="27" thickTop="1" thickBot="1" x14ac:dyDescent="0.25">
      <c r="B254" s="6">
        <v>13</v>
      </c>
      <c r="C254" s="9" t="s">
        <v>102</v>
      </c>
      <c r="D254" s="6" t="s">
        <v>28</v>
      </c>
      <c r="E254" s="61">
        <f>SUM(ديسمبر!E254+نوفمبر!E254+'اكتوبر '!E254+سبتمبر!E254+اغسطس!E254+يوليو!E254+يونيو!E254+مايو!E254+ابريل!E254+مارس!E254+فبراير!E254+يناير!E254)</f>
        <v>0</v>
      </c>
    </row>
    <row r="255" spans="2:5" s="5" customFormat="1" ht="27" thickTop="1" thickBot="1" x14ac:dyDescent="0.25">
      <c r="B255" s="6">
        <v>14</v>
      </c>
      <c r="C255" s="9" t="s">
        <v>103</v>
      </c>
      <c r="D255" s="6" t="s">
        <v>28</v>
      </c>
      <c r="E255" s="61">
        <f>SUM(ديسمبر!E255+نوفمبر!E255+'اكتوبر '!E255+سبتمبر!E255+اغسطس!E255+يوليو!E255+يونيو!E255+مايو!E255+ابريل!E255+مارس!E255+فبراير!E255+يناير!E255)</f>
        <v>0</v>
      </c>
    </row>
    <row r="256" spans="2:5" s="5" customFormat="1" ht="27" thickTop="1" thickBot="1" x14ac:dyDescent="0.25">
      <c r="B256" s="6">
        <v>15</v>
      </c>
      <c r="C256" s="9" t="s">
        <v>104</v>
      </c>
      <c r="D256" s="6" t="s">
        <v>28</v>
      </c>
      <c r="E256" s="61">
        <f>SUM(ديسمبر!E256+نوفمبر!E256+'اكتوبر '!E256+سبتمبر!E256+اغسطس!E256+يوليو!E256+يونيو!E256+مايو!E256+ابريل!E256+مارس!E256+فبراير!E256+يناير!E256)</f>
        <v>0</v>
      </c>
    </row>
    <row r="257" spans="2:16" s="5" customFormat="1" thickTop="1" thickBot="1" x14ac:dyDescent="0.25">
      <c r="B257" s="6">
        <v>16</v>
      </c>
      <c r="C257" s="9" t="s">
        <v>111</v>
      </c>
      <c r="D257" s="6" t="s">
        <v>28</v>
      </c>
      <c r="E257" s="61">
        <f>SUM(ديسمبر!E257+نوفمبر!E257+'اكتوبر '!E257+سبتمبر!E257+اغسطس!E257+يوليو!E257+يونيو!E257+مايو!E257+ابريل!E257+مارس!E257+فبراير!E257+يناير!E257)</f>
        <v>0</v>
      </c>
    </row>
    <row r="258" spans="2:16" s="5" customFormat="1" thickTop="1" thickBot="1" x14ac:dyDescent="0.25">
      <c r="B258" s="6">
        <v>17</v>
      </c>
      <c r="C258" s="9" t="s">
        <v>112</v>
      </c>
      <c r="D258" s="6" t="s">
        <v>28</v>
      </c>
      <c r="E258" s="61">
        <f>SUM(ديسمبر!E258+نوفمبر!E258+'اكتوبر '!E258+سبتمبر!E258+اغسطس!E258+يوليو!E258+يونيو!E258+مايو!E258+ابريل!E258+مارس!E258+فبراير!E258+يناير!E258)</f>
        <v>0</v>
      </c>
    </row>
    <row r="259" spans="2:16" s="5" customFormat="1" thickTop="1" thickBot="1" x14ac:dyDescent="0.25">
      <c r="B259" s="6">
        <v>18</v>
      </c>
      <c r="C259" s="6" t="s">
        <v>51</v>
      </c>
      <c r="D259" s="6" t="s">
        <v>28</v>
      </c>
      <c r="E259" s="61">
        <f>SUM(ديسمبر!E259+نوفمبر!E259+'اكتوبر '!E259+سبتمبر!E259+اغسطس!E259+يوليو!E259+يونيو!E259+مايو!E259+ابريل!E259+مارس!E259+فبراير!E259+يناير!E259)</f>
        <v>0</v>
      </c>
    </row>
    <row r="260" spans="2:16" s="5" customFormat="1" thickTop="1" thickBot="1" x14ac:dyDescent="0.25">
      <c r="B260" s="6">
        <v>19</v>
      </c>
      <c r="C260" s="6" t="s">
        <v>36</v>
      </c>
      <c r="D260" s="6" t="s">
        <v>28</v>
      </c>
      <c r="E260" s="61">
        <f>SUM(ديسمبر!E260+نوفمبر!E260+'اكتوبر '!E260+سبتمبر!E260+اغسطس!E260+يوليو!E260+يونيو!E260+مايو!E260+ابريل!E260+مارس!E260+فبراير!E260+يناير!E260)</f>
        <v>0</v>
      </c>
    </row>
    <row r="261" spans="2:16" s="5" customFormat="1" ht="27" thickTop="1" thickBot="1" x14ac:dyDescent="0.25">
      <c r="B261" s="6">
        <v>20</v>
      </c>
      <c r="C261" s="9" t="s">
        <v>105</v>
      </c>
      <c r="D261" s="6" t="s">
        <v>28</v>
      </c>
      <c r="E261" s="61">
        <f>SUM(ديسمبر!E261+نوفمبر!E261+'اكتوبر '!E261+سبتمبر!E261+اغسطس!E261+يوليو!E261+يونيو!E261+مايو!E261+ابريل!E261+مارس!E261+فبراير!E261+يناير!E261)</f>
        <v>0</v>
      </c>
    </row>
    <row r="262" spans="2:16" s="5" customFormat="1" thickTop="1" thickBot="1" x14ac:dyDescent="0.25">
      <c r="B262" s="6">
        <v>21</v>
      </c>
      <c r="C262" s="6" t="s">
        <v>52</v>
      </c>
      <c r="D262" s="6" t="s">
        <v>28</v>
      </c>
      <c r="E262" s="61">
        <f>SUM(ديسمبر!E262+نوفمبر!E262+'اكتوبر '!E262+سبتمبر!E262+اغسطس!E262+يوليو!E262+يونيو!E262+مايو!E262+ابريل!E262+مارس!E262+فبراير!E262+يناير!E262)</f>
        <v>0</v>
      </c>
    </row>
    <row r="263" spans="2:16" s="5" customFormat="1" thickTop="1" thickBot="1" x14ac:dyDescent="0.25">
      <c r="B263" s="6">
        <v>22</v>
      </c>
      <c r="C263" s="6" t="s">
        <v>37</v>
      </c>
      <c r="D263" s="6" t="s">
        <v>28</v>
      </c>
      <c r="E263" s="61">
        <f>SUM(ديسمبر!E263+نوفمبر!E263+'اكتوبر '!E263+سبتمبر!E263+اغسطس!E263+يوليو!E263+يونيو!E263+مايو!E263+ابريل!E263+مارس!E263+فبراير!E263+يناير!E263)</f>
        <v>0</v>
      </c>
    </row>
    <row r="264" spans="2:16" s="5" customFormat="1" thickTop="1" thickBot="1" x14ac:dyDescent="0.25">
      <c r="B264" s="6">
        <v>23</v>
      </c>
      <c r="C264" s="6" t="s">
        <v>106</v>
      </c>
      <c r="D264" s="6" t="s">
        <v>28</v>
      </c>
      <c r="E264" s="61">
        <f>SUM(ديسمبر!E264+نوفمبر!E264+'اكتوبر '!E264+سبتمبر!E264+اغسطس!E264+يوليو!E264+يونيو!E264+مايو!E264+ابريل!E264+مارس!E264+فبراير!E264+يناير!E264)</f>
        <v>0</v>
      </c>
    </row>
    <row r="265" spans="2:16" s="5" customFormat="1" thickTop="1" thickBot="1" x14ac:dyDescent="0.25">
      <c r="B265" s="6">
        <v>24</v>
      </c>
      <c r="C265" s="6" t="s">
        <v>107</v>
      </c>
      <c r="D265" s="6" t="s">
        <v>28</v>
      </c>
      <c r="E265" s="61">
        <f>SUM(ديسمبر!E265+نوفمبر!E265+'اكتوبر '!E265+سبتمبر!E265+اغسطس!E265+يوليو!E265+يونيو!E265+مايو!E265+ابريل!E265+مارس!E265+فبراير!E265+يناير!E265)</f>
        <v>0</v>
      </c>
    </row>
    <row r="266" spans="2:16" s="5" customFormat="1" thickTop="1" thickBot="1" x14ac:dyDescent="0.25">
      <c r="B266" s="6">
        <v>25</v>
      </c>
      <c r="C266" s="6" t="s">
        <v>108</v>
      </c>
      <c r="D266" s="6" t="s">
        <v>28</v>
      </c>
      <c r="E266" s="61">
        <f>SUM(ديسمبر!E266+نوفمبر!E266+'اكتوبر '!E266+سبتمبر!E266+اغسطس!E266+يوليو!E266+يونيو!E266+مايو!E266+ابريل!E266+مارس!E266+فبراير!E266+يناير!E266)</f>
        <v>0</v>
      </c>
    </row>
    <row r="267" spans="2:16" s="5" customFormat="1" thickTop="1" thickBot="1" x14ac:dyDescent="0.25">
      <c r="B267" s="6">
        <v>26</v>
      </c>
      <c r="C267" s="6" t="s">
        <v>110</v>
      </c>
      <c r="D267" s="6" t="s">
        <v>28</v>
      </c>
      <c r="E267" s="61">
        <f>SUM(ديسمبر!E267+نوفمبر!E267+'اكتوبر '!E267+سبتمبر!E267+اغسطس!E267+يوليو!E267+يونيو!E267+مايو!E267+ابريل!E267+مارس!E267+فبراير!E267+يناير!E267)</f>
        <v>0</v>
      </c>
    </row>
    <row r="268" spans="2:16" s="5" customFormat="1" thickTop="1" thickBot="1" x14ac:dyDescent="0.25">
      <c r="B268" s="6">
        <v>27</v>
      </c>
      <c r="C268" s="6" t="s">
        <v>125</v>
      </c>
      <c r="D268" s="6" t="s">
        <v>28</v>
      </c>
      <c r="E268" s="61">
        <f>SUM(ديسمبر!E268+نوفمبر!E268+'اكتوبر '!E268+سبتمبر!E268+اغسطس!E268+يوليو!E268+يونيو!E268+مايو!E268+ابريل!E268+مارس!E268+فبراير!E268+يناير!E268)</f>
        <v>0</v>
      </c>
    </row>
    <row r="269" spans="2:16" s="5" customFormat="1" thickTop="1" thickBot="1" x14ac:dyDescent="0.25">
      <c r="B269" s="6">
        <v>28</v>
      </c>
      <c r="C269" s="6" t="s">
        <v>109</v>
      </c>
      <c r="D269" s="6" t="s">
        <v>28</v>
      </c>
      <c r="E269" s="61">
        <f>SUM(ديسمبر!E269+نوفمبر!E269+'اكتوبر '!E269+سبتمبر!E269+اغسطس!E269+يوليو!E269+يونيو!E269+مايو!E269+ابريل!E269+مارس!E269+فبراير!E269+يناير!E269)</f>
        <v>0</v>
      </c>
    </row>
    <row r="270" spans="2:16" s="5" customFormat="1" ht="17.25" customHeight="1" thickTop="1" thickBot="1" x14ac:dyDescent="0.25">
      <c r="B270" s="74" t="s">
        <v>77</v>
      </c>
      <c r="C270" s="75"/>
      <c r="D270" s="76"/>
      <c r="E270" s="36">
        <f>SUM(E242:E269)</f>
        <v>0</v>
      </c>
    </row>
    <row r="271" spans="2:16" s="5" customFormat="1" thickTop="1" thickBot="1" x14ac:dyDescent="0.25"/>
    <row r="272" spans="2:16" s="5" customFormat="1" thickTop="1" thickBot="1" x14ac:dyDescent="0.25">
      <c r="B272" s="47" t="s">
        <v>0</v>
      </c>
      <c r="C272" s="77" t="s">
        <v>81</v>
      </c>
      <c r="D272" s="78"/>
      <c r="E272" s="78"/>
      <c r="F272" s="78"/>
      <c r="G272" s="79"/>
      <c r="H272" s="7"/>
      <c r="I272" s="7"/>
      <c r="J272" s="7"/>
      <c r="K272" s="7"/>
      <c r="L272" s="70"/>
      <c r="M272" s="70"/>
      <c r="N272" s="70"/>
      <c r="O272" s="70"/>
      <c r="P272" s="70"/>
    </row>
    <row r="273" spans="2:16" s="5" customFormat="1" thickTop="1" thickBot="1" x14ac:dyDescent="0.25">
      <c r="B273" s="6">
        <v>1</v>
      </c>
      <c r="C273" s="67" t="str">
        <f>CONCATENATE(يناير!C273,فبراير!C273,مارس!C273,ابريل!C273,مايو!C273,يونيو!C273,يوليو!C273,اغسطس!C273,سبتمبر!C273,نوفمبر!C273,'اكتوبر '!C273:G273,ديسمبر!C273)</f>
        <v/>
      </c>
      <c r="D273" s="68"/>
      <c r="E273" s="68"/>
      <c r="F273" s="68"/>
      <c r="G273" s="69"/>
      <c r="H273" s="7"/>
      <c r="I273" s="7"/>
      <c r="J273" s="7"/>
      <c r="K273" s="7"/>
      <c r="L273" s="70"/>
      <c r="M273" s="70"/>
      <c r="N273" s="70"/>
      <c r="O273" s="70"/>
      <c r="P273" s="70"/>
    </row>
    <row r="274" spans="2:16" s="5" customFormat="1" thickTop="1" thickBot="1" x14ac:dyDescent="0.25">
      <c r="B274" s="6">
        <v>2</v>
      </c>
      <c r="C274" s="67" t="str">
        <f>CONCATENATE(يناير!C274,فبراير!C274,مارس!C274,ابريل!C274,مايو!C274,يونيو!C274,يوليو!C274,اغسطس!C274,سبتمبر!C274,نوفمبر!C274,'اكتوبر '!C274:G274,ديسمبر!C274)</f>
        <v/>
      </c>
      <c r="D274" s="68"/>
      <c r="E274" s="68"/>
      <c r="F274" s="68"/>
      <c r="G274" s="69"/>
      <c r="H274" s="7"/>
      <c r="I274" s="7"/>
      <c r="J274" s="7"/>
      <c r="K274" s="7"/>
      <c r="L274" s="70"/>
      <c r="M274" s="70"/>
      <c r="N274" s="70"/>
      <c r="O274" s="70"/>
      <c r="P274" s="70"/>
    </row>
    <row r="275" spans="2:16" s="5" customFormat="1" thickTop="1" thickBot="1" x14ac:dyDescent="0.25">
      <c r="B275" s="6">
        <v>3</v>
      </c>
      <c r="C275" s="67" t="str">
        <f>CONCATENATE(يناير!C275,فبراير!C275,مارس!C275,ابريل!C275,مايو!C275,يونيو!C275,يوليو!C275,اغسطس!C275,سبتمبر!C275,نوفمبر!C275,'اكتوبر '!C275:G275,ديسمبر!C275)</f>
        <v/>
      </c>
      <c r="D275" s="68"/>
      <c r="E275" s="68"/>
      <c r="F275" s="68"/>
      <c r="G275" s="69"/>
      <c r="H275" s="7"/>
      <c r="I275" s="7"/>
      <c r="J275" s="7"/>
      <c r="K275" s="7"/>
      <c r="L275" s="70"/>
      <c r="M275" s="70"/>
      <c r="N275" s="70"/>
      <c r="O275" s="70"/>
      <c r="P275" s="70"/>
    </row>
    <row r="276" spans="2:16" s="5" customFormat="1" thickTop="1" thickBot="1" x14ac:dyDescent="0.25">
      <c r="B276" s="6">
        <v>4</v>
      </c>
      <c r="C276" s="67" t="str">
        <f>CONCATENATE(يناير!C276,فبراير!C276,مارس!C276,ابريل!C276,مايو!C276,يونيو!C276,يوليو!C276,اغسطس!C276,سبتمبر!C276,نوفمبر!C276,'اكتوبر '!C276:G276,ديسمبر!C276)</f>
        <v/>
      </c>
      <c r="D276" s="68"/>
      <c r="E276" s="68"/>
      <c r="F276" s="68"/>
      <c r="G276" s="69"/>
      <c r="H276" s="7"/>
      <c r="I276" s="7"/>
      <c r="J276" s="7"/>
      <c r="K276" s="7"/>
      <c r="L276" s="70"/>
      <c r="M276" s="70"/>
      <c r="N276" s="70"/>
      <c r="O276" s="70"/>
      <c r="P276" s="70"/>
    </row>
    <row r="277" spans="2:16" s="5" customFormat="1" thickTop="1" thickBot="1" x14ac:dyDescent="0.25">
      <c r="B277" s="6">
        <v>5</v>
      </c>
      <c r="C277" s="67" t="str">
        <f>CONCATENATE(يناير!C277,فبراير!C277,مارس!C277,ابريل!C277,مايو!C277,يونيو!C277,يوليو!C277,اغسطس!C277,سبتمبر!C277,نوفمبر!C277,'اكتوبر '!C277:G277,ديسمبر!C277)</f>
        <v/>
      </c>
      <c r="D277" s="68"/>
      <c r="E277" s="68"/>
      <c r="F277" s="68"/>
      <c r="G277" s="69"/>
      <c r="H277" s="7"/>
      <c r="I277" s="7"/>
      <c r="J277" s="7"/>
      <c r="K277" s="7"/>
      <c r="L277" s="70"/>
      <c r="M277" s="70"/>
      <c r="N277" s="70"/>
      <c r="O277" s="70"/>
      <c r="P277" s="70"/>
    </row>
    <row r="278" spans="2:16" s="5" customFormat="1" thickTop="1" thickBot="1" x14ac:dyDescent="0.25">
      <c r="B278" s="6">
        <v>6</v>
      </c>
      <c r="C278" s="67" t="str">
        <f>CONCATENATE(يناير!C278,فبراير!C278,مارس!C278,ابريل!C278,مايو!C278,يونيو!C278,يوليو!C278,اغسطس!C278,سبتمبر!C278,نوفمبر!C278,'اكتوبر '!C278:G278,ديسمبر!C278)</f>
        <v/>
      </c>
      <c r="D278" s="68"/>
      <c r="E278" s="68"/>
      <c r="F278" s="68"/>
      <c r="G278" s="69"/>
      <c r="H278" s="7"/>
      <c r="I278" s="7"/>
      <c r="J278" s="7"/>
      <c r="K278" s="7"/>
      <c r="L278" s="70"/>
      <c r="M278" s="70"/>
      <c r="N278" s="70"/>
      <c r="O278" s="70"/>
      <c r="P278" s="70"/>
    </row>
    <row r="279" spans="2:16" s="5" customFormat="1" thickTop="1" thickBot="1" x14ac:dyDescent="0.25">
      <c r="B279" s="6">
        <v>7</v>
      </c>
      <c r="C279" s="67" t="str">
        <f>CONCATENATE(يناير!C279,فبراير!C279,مارس!C279,ابريل!C279,مايو!C279,يونيو!C279,يوليو!C279,اغسطس!C279,سبتمبر!C279,نوفمبر!C279,'اكتوبر '!C279:G279,ديسمبر!C279)</f>
        <v/>
      </c>
      <c r="D279" s="68"/>
      <c r="E279" s="68"/>
      <c r="F279" s="68"/>
      <c r="G279" s="69"/>
      <c r="H279" s="7"/>
      <c r="I279" s="7"/>
      <c r="J279" s="7"/>
      <c r="K279" s="7"/>
      <c r="L279" s="70"/>
      <c r="M279" s="70"/>
      <c r="N279" s="70"/>
      <c r="O279" s="70"/>
      <c r="P279" s="70"/>
    </row>
    <row r="280" spans="2:16" s="5" customFormat="1" thickTop="1" thickBot="1" x14ac:dyDescent="0.25">
      <c r="B280" s="6">
        <v>8</v>
      </c>
      <c r="C280" s="67" t="str">
        <f>CONCATENATE(يناير!C280,فبراير!C280,مارس!C280,ابريل!C280,مايو!C280,يونيو!C280,يوليو!C280,اغسطس!C280,سبتمبر!C280,نوفمبر!C280,'اكتوبر '!C280:G280,ديسمبر!C280)</f>
        <v/>
      </c>
      <c r="D280" s="68"/>
      <c r="E280" s="68"/>
      <c r="F280" s="68"/>
      <c r="G280" s="69"/>
      <c r="H280" s="7"/>
      <c r="I280" s="7"/>
      <c r="J280" s="7"/>
      <c r="K280" s="7"/>
      <c r="L280" s="70"/>
      <c r="M280" s="70"/>
      <c r="N280" s="70"/>
      <c r="O280" s="70"/>
      <c r="P280" s="70"/>
    </row>
    <row r="281" spans="2:16" s="5" customFormat="1" thickTop="1" thickBot="1" x14ac:dyDescent="0.25">
      <c r="B281" s="6">
        <v>9</v>
      </c>
      <c r="C281" s="67" t="str">
        <f>CONCATENATE(يناير!C281,فبراير!C281,مارس!C281,ابريل!C281,مايو!C281,يونيو!C281,يوليو!C281,اغسطس!C281,سبتمبر!C281,نوفمبر!C281,'اكتوبر '!C281:G281,ديسمبر!C281)</f>
        <v/>
      </c>
      <c r="D281" s="68"/>
      <c r="E281" s="68"/>
      <c r="F281" s="68"/>
      <c r="G281" s="69"/>
      <c r="H281" s="7"/>
      <c r="I281" s="7"/>
      <c r="J281" s="7"/>
      <c r="K281" s="7"/>
      <c r="L281" s="70"/>
      <c r="M281" s="70"/>
      <c r="N281" s="70"/>
      <c r="O281" s="70"/>
      <c r="P281" s="70"/>
    </row>
    <row r="282" spans="2:16" s="5" customFormat="1" thickTop="1" thickBot="1" x14ac:dyDescent="0.25">
      <c r="B282" s="6">
        <v>10</v>
      </c>
      <c r="C282" s="67" t="str">
        <f>CONCATENATE(يناير!C282,فبراير!C282,مارس!C282,ابريل!C282,مايو!C282,يونيو!C282,يوليو!C282,اغسطس!C282,سبتمبر!C282,نوفمبر!C282,'اكتوبر '!C282:G282,ديسمبر!C282)</f>
        <v/>
      </c>
      <c r="D282" s="68"/>
      <c r="E282" s="68"/>
      <c r="F282" s="68"/>
      <c r="G282" s="69"/>
      <c r="H282" s="7"/>
      <c r="I282" s="7"/>
      <c r="J282" s="7"/>
      <c r="K282" s="7"/>
      <c r="L282" s="70"/>
      <c r="M282" s="70"/>
      <c r="N282" s="70"/>
      <c r="O282" s="70"/>
      <c r="P282" s="70"/>
    </row>
    <row r="283" spans="2:16" s="5" customFormat="1" thickTop="1" thickBot="1" x14ac:dyDescent="0.25">
      <c r="B283" s="6">
        <v>11</v>
      </c>
      <c r="C283" s="67" t="str">
        <f>CONCATENATE(يناير!C283,فبراير!C283,مارس!C283,ابريل!C283,مايو!C283,يونيو!C283,يوليو!C283,اغسطس!C283,سبتمبر!C283,نوفمبر!C283,'اكتوبر '!C283:G283,ديسمبر!C283)</f>
        <v/>
      </c>
      <c r="D283" s="68"/>
      <c r="E283" s="68"/>
      <c r="F283" s="68"/>
      <c r="G283" s="69"/>
      <c r="H283" s="7"/>
      <c r="I283" s="7"/>
      <c r="J283" s="7"/>
      <c r="K283" s="7"/>
      <c r="L283" s="70"/>
      <c r="M283" s="70"/>
      <c r="N283" s="70"/>
      <c r="O283" s="70"/>
      <c r="P283" s="70"/>
    </row>
    <row r="284" spans="2:16" s="5" customFormat="1" thickTop="1" thickBot="1" x14ac:dyDescent="0.25">
      <c r="B284" s="6">
        <v>12</v>
      </c>
      <c r="C284" s="67" t="str">
        <f>CONCATENATE(يناير!C284,فبراير!C284,مارس!C284,ابريل!C284,مايو!C284,يونيو!C284,يوليو!C284,اغسطس!C284,سبتمبر!C284,نوفمبر!C284,'اكتوبر '!C284:G284,ديسمبر!C284)</f>
        <v/>
      </c>
      <c r="D284" s="68"/>
      <c r="E284" s="68"/>
      <c r="F284" s="68"/>
      <c r="G284" s="69"/>
      <c r="H284" s="7"/>
      <c r="I284" s="7"/>
      <c r="J284" s="7"/>
      <c r="K284" s="7"/>
      <c r="L284" s="70"/>
      <c r="M284" s="70"/>
      <c r="N284" s="70"/>
      <c r="O284" s="70"/>
      <c r="P284" s="70"/>
    </row>
    <row r="285" spans="2:16" s="5" customFormat="1" thickTop="1" thickBot="1" x14ac:dyDescent="0.25">
      <c r="B285" s="6">
        <v>13</v>
      </c>
      <c r="C285" s="67" t="str">
        <f>CONCATENATE(يناير!C285,فبراير!C285,مارس!C285,ابريل!C285,مايو!C285,يونيو!C285,يوليو!C285,اغسطس!C285,سبتمبر!C285,نوفمبر!C285,'اكتوبر '!C285:G285,ديسمبر!C285)</f>
        <v/>
      </c>
      <c r="D285" s="68"/>
      <c r="E285" s="68"/>
      <c r="F285" s="68"/>
      <c r="G285" s="69"/>
      <c r="H285" s="7"/>
      <c r="I285" s="7"/>
      <c r="J285" s="7"/>
      <c r="K285" s="7"/>
      <c r="L285" s="70"/>
      <c r="M285" s="70"/>
      <c r="N285" s="70"/>
      <c r="O285" s="70"/>
      <c r="P285" s="70"/>
    </row>
    <row r="286" spans="2:16" s="5" customFormat="1" thickTop="1" thickBot="1" x14ac:dyDescent="0.25">
      <c r="B286" s="6">
        <v>14</v>
      </c>
      <c r="C286" s="67" t="str">
        <f>CONCATENATE(يناير!C286,فبراير!C286,مارس!C286,ابريل!C286,مايو!C286,يونيو!C286,يوليو!C286,اغسطس!C286,سبتمبر!C286,نوفمبر!C286,'اكتوبر '!C286:G286,ديسمبر!C286)</f>
        <v/>
      </c>
      <c r="D286" s="68"/>
      <c r="E286" s="68"/>
      <c r="F286" s="68"/>
      <c r="G286" s="69"/>
      <c r="H286" s="7"/>
      <c r="I286" s="7"/>
      <c r="J286" s="7"/>
      <c r="K286" s="7"/>
      <c r="L286" s="70"/>
      <c r="M286" s="70"/>
      <c r="N286" s="70"/>
      <c r="O286" s="70"/>
      <c r="P286" s="70"/>
    </row>
    <row r="287" spans="2:16" s="5" customFormat="1" thickTop="1" thickBot="1" x14ac:dyDescent="0.25">
      <c r="B287" s="6">
        <v>15</v>
      </c>
      <c r="C287" s="67" t="str">
        <f>CONCATENATE(يناير!C287,فبراير!C287,مارس!C287,ابريل!C287,مايو!C287,يونيو!C287,يوليو!C287,اغسطس!C287,سبتمبر!C287,نوفمبر!C287,'اكتوبر '!C287:G287,ديسمبر!C287)</f>
        <v/>
      </c>
      <c r="D287" s="68"/>
      <c r="E287" s="68"/>
      <c r="F287" s="68"/>
      <c r="G287" s="69"/>
      <c r="H287" s="7"/>
      <c r="I287" s="7"/>
      <c r="J287" s="7"/>
      <c r="K287" s="7"/>
      <c r="L287" s="70"/>
      <c r="M287" s="70"/>
      <c r="N287" s="70"/>
      <c r="O287" s="70"/>
      <c r="P287" s="70"/>
    </row>
    <row r="288" spans="2:16" s="5" customFormat="1" thickTop="1" thickBot="1" x14ac:dyDescent="0.25">
      <c r="B288" s="6">
        <v>16</v>
      </c>
      <c r="C288" s="67" t="str">
        <f>CONCATENATE(يناير!C288,فبراير!C288,مارس!C288,ابريل!C288,مايو!C288,يونيو!C288,يوليو!C288,اغسطس!C288,سبتمبر!C288,نوفمبر!C288,'اكتوبر '!C288:G288,ديسمبر!C288)</f>
        <v/>
      </c>
      <c r="D288" s="68"/>
      <c r="E288" s="68"/>
      <c r="F288" s="68"/>
      <c r="G288" s="69"/>
      <c r="H288" s="7"/>
      <c r="I288" s="7"/>
      <c r="J288" s="7"/>
      <c r="K288" s="7"/>
      <c r="L288" s="70"/>
      <c r="M288" s="70"/>
      <c r="N288" s="70"/>
      <c r="O288" s="70"/>
      <c r="P288" s="70"/>
    </row>
    <row r="289" spans="2:16" s="5" customFormat="1" thickTop="1" thickBot="1" x14ac:dyDescent="0.25">
      <c r="B289" s="6">
        <v>17</v>
      </c>
      <c r="C289" s="67" t="str">
        <f>CONCATENATE(يناير!C289,فبراير!C289,مارس!C289,ابريل!C289,مايو!C289,يونيو!C289,يوليو!C289,اغسطس!C289,سبتمبر!C289,نوفمبر!C289,'اكتوبر '!C289:G289,ديسمبر!C289)</f>
        <v/>
      </c>
      <c r="D289" s="68"/>
      <c r="E289" s="68"/>
      <c r="F289" s="68"/>
      <c r="G289" s="69"/>
      <c r="H289" s="7"/>
      <c r="I289" s="7"/>
      <c r="J289" s="7"/>
      <c r="K289" s="7"/>
      <c r="L289" s="70"/>
      <c r="M289" s="70"/>
      <c r="N289" s="70"/>
      <c r="O289" s="70"/>
      <c r="P289" s="70"/>
    </row>
    <row r="290" spans="2:16" s="5" customFormat="1" thickTop="1" thickBot="1" x14ac:dyDescent="0.25">
      <c r="B290" s="6">
        <v>18</v>
      </c>
      <c r="C290" s="67" t="str">
        <f>CONCATENATE(يناير!C290,فبراير!C290,مارس!C290,ابريل!C290,مايو!C290,يونيو!C290,يوليو!C290,اغسطس!C290,سبتمبر!C290,نوفمبر!C290,'اكتوبر '!C290:G290,ديسمبر!C290)</f>
        <v/>
      </c>
      <c r="D290" s="68"/>
      <c r="E290" s="68"/>
      <c r="F290" s="68"/>
      <c r="G290" s="69"/>
      <c r="H290" s="7"/>
      <c r="I290" s="7"/>
      <c r="J290" s="7"/>
      <c r="K290" s="7"/>
      <c r="L290" s="70"/>
      <c r="M290" s="70"/>
      <c r="N290" s="70"/>
      <c r="O290" s="70"/>
      <c r="P290" s="70"/>
    </row>
    <row r="291" spans="2:16" s="5" customFormat="1" thickTop="1" thickBot="1" x14ac:dyDescent="0.25">
      <c r="B291" s="6">
        <v>19</v>
      </c>
      <c r="C291" s="67" t="str">
        <f>CONCATENATE(يناير!C291,فبراير!C291,مارس!C291,ابريل!C291,مايو!C291,يونيو!C291,يوليو!C291,اغسطس!C291,سبتمبر!C291,نوفمبر!C291,'اكتوبر '!C291:G291,ديسمبر!C291)</f>
        <v/>
      </c>
      <c r="D291" s="68"/>
      <c r="E291" s="68"/>
      <c r="F291" s="68"/>
      <c r="G291" s="69"/>
      <c r="H291" s="7"/>
      <c r="I291" s="7"/>
      <c r="J291" s="7"/>
      <c r="K291" s="7"/>
      <c r="L291" s="70"/>
      <c r="M291" s="70"/>
      <c r="N291" s="70"/>
      <c r="O291" s="70"/>
      <c r="P291" s="70"/>
    </row>
    <row r="292" spans="2:16" s="5" customFormat="1" thickTop="1" thickBot="1" x14ac:dyDescent="0.25">
      <c r="B292" s="6">
        <v>20</v>
      </c>
      <c r="C292" s="67" t="str">
        <f>CONCATENATE(يناير!C292,فبراير!C292,مارس!C292,ابريل!C292,مايو!C292,يونيو!C292,يوليو!C292,اغسطس!C292,سبتمبر!C292,نوفمبر!C292,'اكتوبر '!C292:G292,ديسمبر!C292)</f>
        <v/>
      </c>
      <c r="D292" s="68"/>
      <c r="E292" s="68"/>
      <c r="F292" s="68"/>
      <c r="G292" s="69"/>
      <c r="H292" s="7"/>
      <c r="I292" s="7"/>
      <c r="J292" s="7"/>
      <c r="K292" s="7"/>
      <c r="L292" s="70"/>
      <c r="M292" s="70"/>
      <c r="N292" s="70"/>
      <c r="O292" s="70"/>
      <c r="P292" s="70"/>
    </row>
    <row r="293" spans="2:16" s="5" customFormat="1" thickTop="1" thickBot="1" x14ac:dyDescent="0.25">
      <c r="B293" s="6">
        <v>21</v>
      </c>
      <c r="C293" s="67" t="str">
        <f>CONCATENATE(يناير!C293,فبراير!C293,مارس!C293,ابريل!C293,مايو!C293,يونيو!C293,يوليو!C293,اغسطس!C293,سبتمبر!C293,نوفمبر!C293,'اكتوبر '!C293:G293,ديسمبر!C293)</f>
        <v/>
      </c>
      <c r="D293" s="68"/>
      <c r="E293" s="68"/>
      <c r="F293" s="68"/>
      <c r="G293" s="69"/>
      <c r="H293" s="7"/>
      <c r="I293" s="7"/>
      <c r="J293" s="7"/>
      <c r="K293" s="7"/>
      <c r="L293" s="70"/>
      <c r="M293" s="70"/>
      <c r="N293" s="70"/>
      <c r="O293" s="70"/>
      <c r="P293" s="70"/>
    </row>
    <row r="294" spans="2:16" s="5" customFormat="1" thickTop="1" thickBot="1" x14ac:dyDescent="0.25">
      <c r="B294" s="6">
        <v>22</v>
      </c>
      <c r="C294" s="67" t="str">
        <f>CONCATENATE(يناير!C294,فبراير!C294,مارس!C294,ابريل!C294,مايو!C294,يونيو!C294,يوليو!C294,اغسطس!C294,سبتمبر!C294,نوفمبر!C294,'اكتوبر '!C294:G294,ديسمبر!C294)</f>
        <v/>
      </c>
      <c r="D294" s="68"/>
      <c r="E294" s="68"/>
      <c r="F294" s="68"/>
      <c r="G294" s="69"/>
      <c r="H294" s="7"/>
      <c r="I294" s="7"/>
      <c r="J294" s="7"/>
      <c r="K294" s="7"/>
      <c r="L294" s="70"/>
      <c r="M294" s="70"/>
      <c r="N294" s="70"/>
      <c r="O294" s="70"/>
      <c r="P294" s="70"/>
    </row>
    <row r="295" spans="2:16" s="5" customFormat="1" thickTop="1" thickBot="1" x14ac:dyDescent="0.25">
      <c r="B295" s="6">
        <v>23</v>
      </c>
      <c r="C295" s="67" t="str">
        <f>CONCATENATE(يناير!C295,فبراير!C295,مارس!C295,ابريل!C295,مايو!C295,يونيو!C295,يوليو!C295,اغسطس!C295,سبتمبر!C295,نوفمبر!C295,'اكتوبر '!C295:G295,ديسمبر!C295)</f>
        <v/>
      </c>
      <c r="D295" s="68"/>
      <c r="E295" s="68"/>
      <c r="F295" s="68"/>
      <c r="G295" s="69"/>
      <c r="H295" s="7"/>
      <c r="I295" s="7"/>
      <c r="J295" s="7"/>
      <c r="K295" s="7"/>
      <c r="L295" s="70"/>
      <c r="M295" s="70"/>
      <c r="N295" s="70"/>
      <c r="O295" s="70"/>
      <c r="P295" s="70"/>
    </row>
    <row r="296" spans="2:16" s="5" customFormat="1" ht="13.5" customHeight="1" thickTop="1" thickBot="1" x14ac:dyDescent="0.25">
      <c r="B296" s="6">
        <v>24</v>
      </c>
      <c r="C296" s="67" t="str">
        <f>CONCATENATE(يناير!C296,فبراير!C296,مارس!C296,ابريل!C296,مايو!C296,يونيو!C296,يوليو!C296,اغسطس!C296,سبتمبر!C296,نوفمبر!C296,'اكتوبر '!C296:G296,ديسمبر!C296)</f>
        <v/>
      </c>
      <c r="D296" s="68"/>
      <c r="E296" s="68"/>
      <c r="F296" s="68"/>
      <c r="G296" s="69"/>
      <c r="H296" s="7"/>
      <c r="I296" s="7"/>
      <c r="J296" s="7"/>
      <c r="K296" s="7"/>
      <c r="L296" s="70"/>
      <c r="M296" s="70"/>
      <c r="N296" s="70"/>
      <c r="O296" s="70"/>
      <c r="P296" s="70"/>
    </row>
    <row r="297" spans="2:16" s="5" customFormat="1" thickTop="1" thickBot="1" x14ac:dyDescent="0.25">
      <c r="B297" s="6">
        <v>25</v>
      </c>
      <c r="C297" s="67" t="str">
        <f>CONCATENATE(يناير!C297,فبراير!C297,مارس!C297,ابريل!C297,مايو!C297,يونيو!C297,يوليو!C297,اغسطس!C297,سبتمبر!C297,نوفمبر!C297,'اكتوبر '!C297:G297,ديسمبر!C297)</f>
        <v/>
      </c>
      <c r="D297" s="68"/>
      <c r="E297" s="68"/>
      <c r="F297" s="68"/>
      <c r="G297" s="69"/>
      <c r="H297" s="7"/>
      <c r="I297" s="7"/>
      <c r="J297" s="7"/>
      <c r="K297" s="7"/>
      <c r="L297" s="70"/>
      <c r="M297" s="70"/>
      <c r="N297" s="70"/>
      <c r="O297" s="70"/>
      <c r="P297" s="70"/>
    </row>
    <row r="298" spans="2:16" s="5" customFormat="1" thickTop="1" thickBot="1" x14ac:dyDescent="0.25">
      <c r="B298" s="6">
        <v>26</v>
      </c>
      <c r="C298" s="67" t="str">
        <f>CONCATENATE(يناير!C298,فبراير!C298,مارس!C298,ابريل!C298,مايو!C298,يونيو!C298,يوليو!C298,اغسطس!C298,سبتمبر!C298,نوفمبر!C298,'اكتوبر '!C298:G298,ديسمبر!C298)</f>
        <v/>
      </c>
      <c r="D298" s="68"/>
      <c r="E298" s="68"/>
      <c r="F298" s="68"/>
      <c r="G298" s="69"/>
      <c r="H298" s="7"/>
      <c r="I298" s="7"/>
      <c r="J298" s="7"/>
      <c r="K298" s="7"/>
      <c r="L298" s="7"/>
      <c r="M298" s="7"/>
      <c r="N298" s="7"/>
      <c r="O298" s="7"/>
      <c r="P298" s="7"/>
    </row>
    <row r="299" spans="2:16" s="5" customFormat="1" thickTop="1" thickBot="1" x14ac:dyDescent="0.25">
      <c r="B299" s="6">
        <v>27</v>
      </c>
      <c r="C299" s="67" t="str">
        <f>CONCATENATE(يناير!C299,فبراير!C299,مارس!C299,ابريل!C299,مايو!C299,يونيو!C299,يوليو!C299,اغسطس!C299,سبتمبر!C299,نوفمبر!C299,'اكتوبر '!C299:G299,ديسمبر!C299)</f>
        <v/>
      </c>
      <c r="D299" s="68"/>
      <c r="E299" s="68"/>
      <c r="F299" s="68"/>
      <c r="G299" s="69"/>
      <c r="H299" s="7"/>
      <c r="I299" s="7"/>
      <c r="J299" s="7"/>
      <c r="K299" s="7"/>
      <c r="L299" s="7"/>
      <c r="M299" s="7"/>
      <c r="N299" s="7"/>
      <c r="O299" s="7"/>
      <c r="P299" s="7"/>
    </row>
    <row r="300" spans="2:16" s="5" customFormat="1" thickTop="1" thickBot="1" x14ac:dyDescent="0.25">
      <c r="B300" s="30">
        <v>28</v>
      </c>
      <c r="C300" s="67" t="str">
        <f>CONCATENATE(يناير!C300,فبراير!C300,مارس!C300,ابريل!C300,مايو!C300,يونيو!C300,يوليو!C300,اغسطس!C300,سبتمبر!C300,نوفمبر!C300,'اكتوبر '!C300:G300,ديسمبر!C300)</f>
        <v/>
      </c>
      <c r="D300" s="68"/>
      <c r="E300" s="68"/>
      <c r="F300" s="68"/>
      <c r="G300" s="69"/>
      <c r="H300" s="7"/>
      <c r="I300" s="7"/>
      <c r="J300" s="7"/>
      <c r="K300" s="7"/>
      <c r="L300" s="7"/>
      <c r="M300" s="7"/>
      <c r="N300" s="7"/>
      <c r="O300" s="7"/>
      <c r="P300" s="7"/>
    </row>
    <row r="301" spans="2:16" s="5" customFormat="1" thickTop="1" thickBot="1" x14ac:dyDescent="0.25">
      <c r="B301" s="32"/>
      <c r="C301" s="28"/>
      <c r="D301" s="28"/>
      <c r="E301" s="28"/>
      <c r="F301" s="28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2:16" s="5" customFormat="1" thickTop="1" thickBot="1" x14ac:dyDescent="0.25">
      <c r="B302" s="7"/>
      <c r="C302" s="28"/>
      <c r="D302" s="28"/>
      <c r="E302" s="28"/>
      <c r="F302" s="28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2:16" s="5" customFormat="1" thickTop="1" thickBot="1" x14ac:dyDescent="0.25">
      <c r="B303" s="35"/>
      <c r="C303" s="28"/>
      <c r="D303" s="28"/>
      <c r="E303" s="28"/>
      <c r="F303" s="28"/>
      <c r="G303" s="7"/>
    </row>
    <row r="304" spans="2:16" s="5" customFormat="1" ht="17.25" thickTop="1" thickBot="1" x14ac:dyDescent="0.3">
      <c r="B304" s="98" t="s">
        <v>146</v>
      </c>
      <c r="C304" s="82"/>
      <c r="D304" s="82"/>
      <c r="E304" s="82"/>
      <c r="F304" s="83"/>
    </row>
    <row r="305" spans="2:6" s="5" customFormat="1" thickTop="1" thickBot="1" x14ac:dyDescent="0.25">
      <c r="B305" s="46" t="s">
        <v>0</v>
      </c>
      <c r="C305" s="46" t="s">
        <v>44</v>
      </c>
      <c r="D305" s="46" t="s">
        <v>11</v>
      </c>
      <c r="E305" s="46" t="s">
        <v>90</v>
      </c>
      <c r="F305" s="46" t="s">
        <v>84</v>
      </c>
    </row>
    <row r="306" spans="2:6" s="5" customFormat="1" thickTop="1" thickBot="1" x14ac:dyDescent="0.25">
      <c r="B306" s="6">
        <v>1</v>
      </c>
      <c r="C306" s="6" t="s">
        <v>79</v>
      </c>
      <c r="D306" s="6" t="s">
        <v>3</v>
      </c>
      <c r="E306" s="61">
        <f>SUM(ديسمبر!E306+نوفمبر!E306+'اكتوبر '!E306+سبتمبر!E306+اغسطس!E306+يوليو!E306+يونيو!E306+مايو!E306+ابريل!E306+مارس!E306+فبراير!E306+يناير!E306)</f>
        <v>0</v>
      </c>
      <c r="F306" s="11">
        <f>E306/1000</f>
        <v>0</v>
      </c>
    </row>
    <row r="307" spans="2:6" s="5" customFormat="1" thickTop="1" thickBot="1" x14ac:dyDescent="0.25">
      <c r="B307" s="6">
        <v>2</v>
      </c>
      <c r="C307" s="24" t="s">
        <v>40</v>
      </c>
      <c r="D307" s="6" t="s">
        <v>3</v>
      </c>
      <c r="E307" s="61">
        <f>SUM(ديسمبر!E307+نوفمبر!E307+'اكتوبر '!E307+سبتمبر!E307+اغسطس!E307+يوليو!E307+يونيو!E307+مايو!E307+ابريل!E307+مارس!E307+فبراير!E307+يناير!E307)</f>
        <v>0</v>
      </c>
      <c r="F307" s="11">
        <f t="shared" ref="F307:F331" si="5">E307/1000</f>
        <v>0</v>
      </c>
    </row>
    <row r="308" spans="2:6" s="5" customFormat="1" thickTop="1" thickBot="1" x14ac:dyDescent="0.25">
      <c r="B308" s="6">
        <v>3</v>
      </c>
      <c r="C308" s="24" t="s">
        <v>78</v>
      </c>
      <c r="D308" s="6" t="s">
        <v>3</v>
      </c>
      <c r="E308" s="61">
        <f>SUM(ديسمبر!E308+نوفمبر!E308+'اكتوبر '!E308+سبتمبر!E308+اغسطس!E308+يوليو!E308+يونيو!E308+مايو!E308+ابريل!E308+مارس!E308+فبراير!E308+يناير!E308)</f>
        <v>0</v>
      </c>
      <c r="F308" s="11">
        <f t="shared" si="5"/>
        <v>0</v>
      </c>
    </row>
    <row r="309" spans="2:6" s="5" customFormat="1" ht="27" thickTop="1" thickBot="1" x14ac:dyDescent="0.25">
      <c r="B309" s="6">
        <v>4</v>
      </c>
      <c r="C309" s="12" t="s">
        <v>97</v>
      </c>
      <c r="D309" s="6" t="s">
        <v>3</v>
      </c>
      <c r="E309" s="61">
        <f>SUM(ديسمبر!E309+نوفمبر!E309+'اكتوبر '!E309+سبتمبر!E309+اغسطس!E309+يوليو!E309+يونيو!E309+مايو!E309+ابريل!E309+مارس!E309+فبراير!E309+يناير!E309)</f>
        <v>0</v>
      </c>
      <c r="F309" s="11">
        <f t="shared" si="5"/>
        <v>0</v>
      </c>
    </row>
    <row r="310" spans="2:6" s="5" customFormat="1" thickTop="1" thickBot="1" x14ac:dyDescent="0.25">
      <c r="B310" s="6">
        <v>5</v>
      </c>
      <c r="C310" s="12" t="s">
        <v>99</v>
      </c>
      <c r="D310" s="6" t="s">
        <v>3</v>
      </c>
      <c r="E310" s="61">
        <f>SUM(ديسمبر!E310+نوفمبر!E310+'اكتوبر '!E310+سبتمبر!E310+اغسطس!E310+يوليو!E310+يونيو!E310+مايو!E310+ابريل!E310+مارس!E310+فبراير!E310+يناير!E310)</f>
        <v>0</v>
      </c>
      <c r="F310" s="11">
        <f t="shared" si="5"/>
        <v>0</v>
      </c>
    </row>
    <row r="311" spans="2:6" s="5" customFormat="1" thickTop="1" thickBot="1" x14ac:dyDescent="0.25">
      <c r="B311" s="6">
        <v>6</v>
      </c>
      <c r="C311" s="24" t="s">
        <v>2</v>
      </c>
      <c r="D311" s="6" t="s">
        <v>3</v>
      </c>
      <c r="E311" s="61">
        <f>SUM(ديسمبر!E311+نوفمبر!E311+'اكتوبر '!E311+سبتمبر!E311+اغسطس!E311+يوليو!E311+يونيو!E311+مايو!E311+ابريل!E311+مارس!E311+فبراير!E311+يناير!E311)</f>
        <v>0</v>
      </c>
      <c r="F311" s="11">
        <f t="shared" si="5"/>
        <v>0</v>
      </c>
    </row>
    <row r="312" spans="2:6" s="5" customFormat="1" thickTop="1" thickBot="1" x14ac:dyDescent="0.25">
      <c r="B312" s="6">
        <v>7</v>
      </c>
      <c r="C312" s="24" t="s">
        <v>54</v>
      </c>
      <c r="D312" s="6" t="s">
        <v>3</v>
      </c>
      <c r="E312" s="61">
        <f>SUM(ديسمبر!E312+نوفمبر!E312+'اكتوبر '!E312+سبتمبر!E312+اغسطس!E312+يوليو!E312+يونيو!E312+مايو!E312+ابريل!E312+مارس!E312+فبراير!E312+يناير!E312)</f>
        <v>0</v>
      </c>
      <c r="F312" s="11">
        <f t="shared" si="5"/>
        <v>0</v>
      </c>
    </row>
    <row r="313" spans="2:6" s="5" customFormat="1" ht="39.75" thickTop="1" thickBot="1" x14ac:dyDescent="0.25">
      <c r="B313" s="6">
        <v>8</v>
      </c>
      <c r="C313" s="12" t="s">
        <v>93</v>
      </c>
      <c r="D313" s="6" t="s">
        <v>3</v>
      </c>
      <c r="E313" s="61">
        <f>SUM(ديسمبر!E313+نوفمبر!E313+'اكتوبر '!E313+سبتمبر!E313+اغسطس!E313+يوليو!E313+يونيو!E313+مايو!E313+ابريل!E313+مارس!E313+فبراير!E313+يناير!E313)</f>
        <v>0</v>
      </c>
      <c r="F313" s="11">
        <f t="shared" si="5"/>
        <v>0</v>
      </c>
    </row>
    <row r="314" spans="2:6" s="5" customFormat="1" thickTop="1" thickBot="1" x14ac:dyDescent="0.25">
      <c r="B314" s="6">
        <v>9</v>
      </c>
      <c r="C314" s="24" t="s">
        <v>4</v>
      </c>
      <c r="D314" s="6" t="s">
        <v>3</v>
      </c>
      <c r="E314" s="61">
        <f>SUM(ديسمبر!E314+نوفمبر!E314+'اكتوبر '!E314+سبتمبر!E314+اغسطس!E314+يوليو!E314+يونيو!E314+مايو!E314+ابريل!E314+مارس!E314+فبراير!E314+يناير!E314)</f>
        <v>0</v>
      </c>
      <c r="F314" s="11">
        <f t="shared" si="5"/>
        <v>0</v>
      </c>
    </row>
    <row r="315" spans="2:6" s="5" customFormat="1" thickTop="1" thickBot="1" x14ac:dyDescent="0.25">
      <c r="B315" s="6">
        <v>10</v>
      </c>
      <c r="C315" s="24" t="s">
        <v>55</v>
      </c>
      <c r="D315" s="6" t="s">
        <v>3</v>
      </c>
      <c r="E315" s="61">
        <f>SUM(ديسمبر!E315+نوفمبر!E315+'اكتوبر '!E315+سبتمبر!E315+اغسطس!E315+يوليو!E315+يونيو!E315+مايو!E315+ابريل!E315+مارس!E315+فبراير!E315+يناير!E315)</f>
        <v>0</v>
      </c>
      <c r="F315" s="11">
        <f t="shared" si="5"/>
        <v>0</v>
      </c>
    </row>
    <row r="316" spans="2:6" s="5" customFormat="1" ht="27" thickTop="1" thickBot="1" x14ac:dyDescent="0.25">
      <c r="B316" s="6">
        <v>11</v>
      </c>
      <c r="C316" s="12" t="s">
        <v>94</v>
      </c>
      <c r="D316" s="6" t="s">
        <v>3</v>
      </c>
      <c r="E316" s="61">
        <f>SUM(ديسمبر!E316+نوفمبر!E316+'اكتوبر '!E316+سبتمبر!E316+اغسطس!E316+يوليو!E316+يونيو!E316+مايو!E316+ابريل!E316+مارس!E316+فبراير!E316+يناير!E316)</f>
        <v>0</v>
      </c>
      <c r="F316" s="11">
        <f t="shared" si="5"/>
        <v>0</v>
      </c>
    </row>
    <row r="317" spans="2:6" s="5" customFormat="1" ht="27" thickTop="1" thickBot="1" x14ac:dyDescent="0.25">
      <c r="B317" s="6">
        <v>12</v>
      </c>
      <c r="C317" s="12" t="s">
        <v>95</v>
      </c>
      <c r="D317" s="6" t="s">
        <v>3</v>
      </c>
      <c r="E317" s="61">
        <f>SUM(ديسمبر!E317+نوفمبر!E317+'اكتوبر '!E317+سبتمبر!E317+اغسطس!E317+يوليو!E317+يونيو!E317+مايو!E317+ابريل!E317+مارس!E317+فبراير!E317+يناير!E317)</f>
        <v>0</v>
      </c>
      <c r="F317" s="11">
        <f t="shared" si="5"/>
        <v>0</v>
      </c>
    </row>
    <row r="318" spans="2:6" s="5" customFormat="1" thickTop="1" thickBot="1" x14ac:dyDescent="0.25">
      <c r="B318" s="6">
        <v>13</v>
      </c>
      <c r="C318" s="24" t="s">
        <v>96</v>
      </c>
      <c r="D318" s="6" t="s">
        <v>3</v>
      </c>
      <c r="E318" s="61">
        <f>SUM(ديسمبر!E318+نوفمبر!E318+'اكتوبر '!E318+سبتمبر!E318+اغسطس!E318+يوليو!E318+يونيو!E318+مايو!E318+ابريل!E318+مارس!E318+فبراير!E318+يناير!E318)</f>
        <v>0</v>
      </c>
      <c r="F318" s="11">
        <f t="shared" si="5"/>
        <v>0</v>
      </c>
    </row>
    <row r="319" spans="2:6" s="5" customFormat="1" thickTop="1" thickBot="1" x14ac:dyDescent="0.25">
      <c r="B319" s="6">
        <v>14</v>
      </c>
      <c r="C319" s="12" t="s">
        <v>98</v>
      </c>
      <c r="D319" s="6" t="s">
        <v>3</v>
      </c>
      <c r="E319" s="61">
        <f>SUM(ديسمبر!E319+نوفمبر!E319+'اكتوبر '!E319+سبتمبر!E319+اغسطس!E319+يوليو!E319+يونيو!E319+مايو!E319+ابريل!E319+مارس!E319+فبراير!E319+يناير!E319)</f>
        <v>0</v>
      </c>
      <c r="F319" s="11">
        <f t="shared" si="5"/>
        <v>0</v>
      </c>
    </row>
    <row r="320" spans="2:6" s="5" customFormat="1" thickTop="1" thickBot="1" x14ac:dyDescent="0.25">
      <c r="B320" s="6">
        <v>15</v>
      </c>
      <c r="C320" s="6" t="s">
        <v>45</v>
      </c>
      <c r="D320" s="6" t="s">
        <v>3</v>
      </c>
      <c r="E320" s="61">
        <f>SUM(ديسمبر!E320+نوفمبر!E320+'اكتوبر '!E320+سبتمبر!E320+اغسطس!E320+يوليو!E320+يونيو!E320+مايو!E320+ابريل!E320+مارس!E320+فبراير!E320+يناير!E320)</f>
        <v>0</v>
      </c>
      <c r="F320" s="11">
        <f t="shared" si="5"/>
        <v>0</v>
      </c>
    </row>
    <row r="321" spans="2:6" s="5" customFormat="1" thickTop="1" thickBot="1" x14ac:dyDescent="0.25">
      <c r="B321" s="6">
        <v>16</v>
      </c>
      <c r="C321" s="6" t="s">
        <v>57</v>
      </c>
      <c r="D321" s="6" t="s">
        <v>3</v>
      </c>
      <c r="E321" s="61">
        <f>SUM(ديسمبر!E321+نوفمبر!E321+'اكتوبر '!E321+سبتمبر!E321+اغسطس!E321+يوليو!E321+يونيو!E321+مايو!E321+ابريل!E321+مارس!E321+فبراير!E321+يناير!E321)</f>
        <v>0</v>
      </c>
      <c r="F321" s="11">
        <f t="shared" si="5"/>
        <v>0</v>
      </c>
    </row>
    <row r="322" spans="2:6" s="5" customFormat="1" thickTop="1" thickBot="1" x14ac:dyDescent="0.25">
      <c r="B322" s="6">
        <v>17</v>
      </c>
      <c r="C322" s="6" t="s">
        <v>58</v>
      </c>
      <c r="D322" s="6" t="s">
        <v>3</v>
      </c>
      <c r="E322" s="61">
        <f>SUM(ديسمبر!E322+نوفمبر!E322+'اكتوبر '!E322+سبتمبر!E322+اغسطس!E322+يوليو!E322+يونيو!E322+مايو!E322+ابريل!E322+مارس!E322+فبراير!E322+يناير!E322)</f>
        <v>0</v>
      </c>
      <c r="F322" s="11">
        <f t="shared" si="5"/>
        <v>0</v>
      </c>
    </row>
    <row r="323" spans="2:6" s="5" customFormat="1" ht="39.75" thickTop="1" thickBot="1" x14ac:dyDescent="0.25">
      <c r="B323" s="6">
        <v>18</v>
      </c>
      <c r="C323" s="9" t="s">
        <v>101</v>
      </c>
      <c r="D323" s="6" t="s">
        <v>3</v>
      </c>
      <c r="E323" s="61">
        <f>SUM(ديسمبر!E323+نوفمبر!E323+'اكتوبر '!E323+سبتمبر!E323+اغسطس!E323+يوليو!E323+يونيو!E323+مايو!E323+ابريل!E323+مارس!E323+فبراير!E323+يناير!E323)</f>
        <v>0</v>
      </c>
      <c r="F323" s="11">
        <f t="shared" si="5"/>
        <v>0</v>
      </c>
    </row>
    <row r="324" spans="2:6" s="5" customFormat="1" thickTop="1" thickBot="1" x14ac:dyDescent="0.25">
      <c r="B324" s="6">
        <v>19</v>
      </c>
      <c r="C324" s="6" t="s">
        <v>59</v>
      </c>
      <c r="D324" s="6" t="s">
        <v>3</v>
      </c>
      <c r="E324" s="61">
        <f>SUM(ديسمبر!E324+نوفمبر!E324+'اكتوبر '!E324+سبتمبر!E324+اغسطس!E324+يوليو!E324+يونيو!E324+مايو!E324+ابريل!E324+مارس!E324+فبراير!E324+يناير!E324)</f>
        <v>0</v>
      </c>
      <c r="F324" s="11">
        <f t="shared" si="5"/>
        <v>0</v>
      </c>
    </row>
    <row r="325" spans="2:6" s="5" customFormat="1" ht="27" thickTop="1" thickBot="1" x14ac:dyDescent="0.25">
      <c r="B325" s="6">
        <v>20</v>
      </c>
      <c r="C325" s="9" t="s">
        <v>100</v>
      </c>
      <c r="D325" s="6" t="s">
        <v>3</v>
      </c>
      <c r="E325" s="61">
        <f>SUM(ديسمبر!E325+نوفمبر!E325+'اكتوبر '!E325+سبتمبر!E325+اغسطس!E325+يوليو!E325+يونيو!E325+مايو!E325+ابريل!E325+مارس!E325+فبراير!E325+يناير!E325)</f>
        <v>0</v>
      </c>
      <c r="F325" s="11">
        <f t="shared" si="5"/>
        <v>0</v>
      </c>
    </row>
    <row r="326" spans="2:6" s="5" customFormat="1" thickTop="1" thickBot="1" x14ac:dyDescent="0.25">
      <c r="B326" s="6">
        <v>21</v>
      </c>
      <c r="C326" s="6" t="s">
        <v>6</v>
      </c>
      <c r="D326" s="6" t="s">
        <v>3</v>
      </c>
      <c r="E326" s="61">
        <f>SUM(ديسمبر!E326+نوفمبر!E326+'اكتوبر '!E326+سبتمبر!E326+اغسطس!E326+يوليو!E326+يونيو!E326+مايو!E326+ابريل!E326+مارس!E326+فبراير!E326+يناير!E326)</f>
        <v>0</v>
      </c>
      <c r="F326" s="11">
        <f t="shared" si="5"/>
        <v>0</v>
      </c>
    </row>
    <row r="327" spans="2:6" s="5" customFormat="1" thickTop="1" thickBot="1" x14ac:dyDescent="0.25">
      <c r="B327" s="6">
        <v>22</v>
      </c>
      <c r="C327" s="6" t="s">
        <v>60</v>
      </c>
      <c r="D327" s="6" t="s">
        <v>3</v>
      </c>
      <c r="E327" s="61">
        <f>SUM(ديسمبر!E327+نوفمبر!E327+'اكتوبر '!E327+سبتمبر!E327+اغسطس!E327+يوليو!E327+يونيو!E327+مايو!E327+ابريل!E327+مارس!E327+فبراير!E327+يناير!E327)</f>
        <v>0</v>
      </c>
      <c r="F327" s="11">
        <f t="shared" si="5"/>
        <v>0</v>
      </c>
    </row>
    <row r="328" spans="2:6" s="5" customFormat="1" thickTop="1" thickBot="1" x14ac:dyDescent="0.25">
      <c r="B328" s="6">
        <v>23</v>
      </c>
      <c r="C328" s="6" t="s">
        <v>7</v>
      </c>
      <c r="D328" s="6" t="s">
        <v>3</v>
      </c>
      <c r="E328" s="61">
        <f>SUM(ديسمبر!E328+نوفمبر!E328+'اكتوبر '!E328+سبتمبر!E328+اغسطس!E328+يوليو!E328+يونيو!E328+مايو!E328+ابريل!E328+مارس!E328+فبراير!E328+يناير!E328)</f>
        <v>0</v>
      </c>
      <c r="F328" s="11">
        <f t="shared" si="5"/>
        <v>0</v>
      </c>
    </row>
    <row r="329" spans="2:6" s="5" customFormat="1" thickTop="1" thickBot="1" x14ac:dyDescent="0.25">
      <c r="B329" s="6">
        <v>24</v>
      </c>
      <c r="C329" s="6" t="s">
        <v>10</v>
      </c>
      <c r="D329" s="6" t="s">
        <v>3</v>
      </c>
      <c r="E329" s="61">
        <f>SUM(ديسمبر!E329+نوفمبر!E329+'اكتوبر '!E329+سبتمبر!E329+اغسطس!E329+يوليو!E329+يونيو!E329+مايو!E329+ابريل!E329+مارس!E329+فبراير!E329+يناير!E329)</f>
        <v>0</v>
      </c>
      <c r="F329" s="11">
        <f t="shared" si="5"/>
        <v>0</v>
      </c>
    </row>
    <row r="330" spans="2:6" s="5" customFormat="1" thickTop="1" thickBot="1" x14ac:dyDescent="0.25">
      <c r="B330" s="6">
        <v>25</v>
      </c>
      <c r="C330" s="19" t="s">
        <v>46</v>
      </c>
      <c r="D330" s="6" t="s">
        <v>3</v>
      </c>
      <c r="E330" s="61">
        <f>SUM(ديسمبر!E330+نوفمبر!E330+'اكتوبر '!E330+سبتمبر!E330+اغسطس!E330+يوليو!E330+يونيو!E330+مايو!E330+ابريل!E330+مارس!E330+فبراير!E330+يناير!E330)</f>
        <v>0</v>
      </c>
      <c r="F330" s="11">
        <f t="shared" si="5"/>
        <v>0</v>
      </c>
    </row>
    <row r="331" spans="2:6" s="5" customFormat="1" ht="27" thickTop="1" thickBot="1" x14ac:dyDescent="0.25">
      <c r="B331" s="6">
        <v>26</v>
      </c>
      <c r="C331" s="20" t="s">
        <v>118</v>
      </c>
      <c r="D331" s="6" t="s">
        <v>3</v>
      </c>
      <c r="E331" s="61">
        <f>SUM(ديسمبر!E331+نوفمبر!E331+'اكتوبر '!E331+سبتمبر!E331+اغسطس!E331+يوليو!E331+يونيو!E331+مايو!E331+ابريل!E331+مارس!E331+فبراير!E331+يناير!E331)</f>
        <v>0</v>
      </c>
      <c r="F331" s="11">
        <f t="shared" si="5"/>
        <v>0</v>
      </c>
    </row>
    <row r="332" spans="2:6" s="5" customFormat="1" ht="17.25" customHeight="1" thickTop="1" thickBot="1" x14ac:dyDescent="0.25">
      <c r="B332" s="74" t="s">
        <v>117</v>
      </c>
      <c r="C332" s="75"/>
      <c r="D332" s="75"/>
      <c r="E332" s="36">
        <f>SUM(E306:E331)</f>
        <v>0</v>
      </c>
      <c r="F332" s="37">
        <f>SUM(F306:F331)</f>
        <v>0</v>
      </c>
    </row>
    <row r="333" spans="2:6" s="5" customFormat="1" ht="17.25" customHeight="1" thickTop="1" thickBot="1" x14ac:dyDescent="0.25">
      <c r="B333" s="71" t="s">
        <v>147</v>
      </c>
      <c r="C333" s="72"/>
      <c r="D333" s="72"/>
      <c r="E333" s="72"/>
      <c r="F333" s="73"/>
    </row>
    <row r="334" spans="2:6" s="5" customFormat="1" thickTop="1" thickBot="1" x14ac:dyDescent="0.25">
      <c r="B334" s="6">
        <v>27</v>
      </c>
      <c r="C334" s="6" t="s">
        <v>8</v>
      </c>
      <c r="D334" s="6" t="s">
        <v>41</v>
      </c>
      <c r="E334" s="6">
        <f>SUM(ديسمبر!E334+نوفمبر!E334+'اكتوبر '!E334+سبتمبر!E334+اغسطس!E334+يوليو!E334+يونيو!E334+مايو!E334+ابريل!E334+مارس!E334+فبراير!E334+يناير!E334)</f>
        <v>0</v>
      </c>
      <c r="F334" s="22"/>
    </row>
    <row r="335" spans="2:6" s="5" customFormat="1" thickTop="1" thickBot="1" x14ac:dyDescent="0.25">
      <c r="B335" s="6">
        <v>28</v>
      </c>
      <c r="C335" s="6" t="s">
        <v>9</v>
      </c>
      <c r="D335" s="6" t="s">
        <v>41</v>
      </c>
      <c r="E335" s="6">
        <f>SUM(ديسمبر!E335+نوفمبر!E335+'اكتوبر '!E335+سبتمبر!E335+اغسطس!E335+يوليو!E335+يونيو!E335+مايو!E335+ابريل!E335+مارس!E335+فبراير!E335+يناير!E335)</f>
        <v>0</v>
      </c>
      <c r="F335" s="22"/>
    </row>
    <row r="336" spans="2:6" s="5" customFormat="1" thickTop="1" thickBot="1" x14ac:dyDescent="0.25"/>
    <row r="337" spans="2:16" s="5" customFormat="1" thickTop="1" thickBot="1" x14ac:dyDescent="0.25">
      <c r="B337" s="47" t="s">
        <v>0</v>
      </c>
      <c r="C337" s="77" t="s">
        <v>81</v>
      </c>
      <c r="D337" s="78"/>
      <c r="E337" s="78"/>
      <c r="F337" s="78"/>
      <c r="G337" s="79"/>
      <c r="H337" s="10"/>
      <c r="I337" s="7"/>
      <c r="J337" s="7"/>
      <c r="K337" s="7"/>
      <c r="L337" s="70"/>
      <c r="M337" s="70"/>
      <c r="N337" s="70"/>
      <c r="O337" s="70"/>
      <c r="P337" s="70"/>
    </row>
    <row r="338" spans="2:16" s="5" customFormat="1" thickTop="1" thickBot="1" x14ac:dyDescent="0.25">
      <c r="B338" s="6">
        <v>1</v>
      </c>
      <c r="C338" s="67" t="str">
        <f>CONCATENATE(يناير!C338,فبراير!C338,مارس!C338,ابريل!C338,مايو!C338,يونيو!C338,يوليو!C338,اغسطس!C338,سبتمبر!C338,نوفمبر!C338,'اكتوبر '!C338:G338,ديسمبر!C338)</f>
        <v/>
      </c>
      <c r="D338" s="68"/>
      <c r="E338" s="68"/>
      <c r="F338" s="68"/>
      <c r="G338" s="69"/>
      <c r="H338" s="10"/>
      <c r="I338" s="7"/>
      <c r="J338" s="7"/>
      <c r="K338" s="7"/>
      <c r="L338" s="70"/>
      <c r="M338" s="70"/>
      <c r="N338" s="70"/>
      <c r="O338" s="70"/>
      <c r="P338" s="70"/>
    </row>
    <row r="339" spans="2:16" s="5" customFormat="1" thickTop="1" thickBot="1" x14ac:dyDescent="0.25">
      <c r="B339" s="6">
        <v>2</v>
      </c>
      <c r="C339" s="67" t="str">
        <f>CONCATENATE(يناير!C339,فبراير!C339,مارس!C339,ابريل!C339,مايو!C339,يونيو!C339,يوليو!C339,اغسطس!C339,سبتمبر!C339,نوفمبر!C339,'اكتوبر '!C339:G339,ديسمبر!C339)</f>
        <v/>
      </c>
      <c r="D339" s="68"/>
      <c r="E339" s="68"/>
      <c r="F339" s="68"/>
      <c r="G339" s="69"/>
      <c r="H339" s="10"/>
      <c r="I339" s="7"/>
      <c r="J339" s="7"/>
      <c r="K339" s="7"/>
      <c r="L339" s="70"/>
      <c r="M339" s="70"/>
      <c r="N339" s="70"/>
      <c r="O339" s="70"/>
      <c r="P339" s="70"/>
    </row>
    <row r="340" spans="2:16" s="5" customFormat="1" thickTop="1" thickBot="1" x14ac:dyDescent="0.25">
      <c r="B340" s="6">
        <v>3</v>
      </c>
      <c r="C340" s="67" t="str">
        <f>CONCATENATE(يناير!C340,فبراير!C340,مارس!C340,ابريل!C340,مايو!C340,يونيو!C340,يوليو!C340,اغسطس!C340,سبتمبر!C340,نوفمبر!C340,'اكتوبر '!C340:G340,ديسمبر!C340)</f>
        <v/>
      </c>
      <c r="D340" s="68"/>
      <c r="E340" s="68"/>
      <c r="F340" s="68"/>
      <c r="G340" s="69"/>
      <c r="H340" s="7"/>
      <c r="I340" s="7"/>
      <c r="J340" s="7"/>
      <c r="K340" s="7"/>
      <c r="L340" s="70"/>
      <c r="M340" s="70"/>
      <c r="N340" s="70"/>
      <c r="O340" s="70"/>
      <c r="P340" s="70"/>
    </row>
    <row r="341" spans="2:16" s="5" customFormat="1" thickTop="1" thickBot="1" x14ac:dyDescent="0.25">
      <c r="B341" s="6">
        <v>4</v>
      </c>
      <c r="C341" s="67" t="str">
        <f>CONCATENATE(يناير!C341,فبراير!C341,مارس!C341,ابريل!C341,مايو!C341,يونيو!C341,يوليو!C341,اغسطس!C341,سبتمبر!C341,نوفمبر!C341,'اكتوبر '!C341:G341,ديسمبر!C341)</f>
        <v/>
      </c>
      <c r="D341" s="68"/>
      <c r="E341" s="68"/>
      <c r="F341" s="68"/>
      <c r="G341" s="69"/>
      <c r="H341" s="7"/>
      <c r="I341" s="7"/>
      <c r="J341" s="7"/>
      <c r="K341" s="7"/>
      <c r="L341" s="70"/>
      <c r="M341" s="70"/>
      <c r="N341" s="70"/>
      <c r="O341" s="70"/>
      <c r="P341" s="70"/>
    </row>
    <row r="342" spans="2:16" s="5" customFormat="1" thickTop="1" thickBot="1" x14ac:dyDescent="0.25">
      <c r="B342" s="6">
        <v>5</v>
      </c>
      <c r="C342" s="67" t="str">
        <f>CONCATENATE(يناير!C342,فبراير!C342,مارس!C342,ابريل!C342,مايو!C342,يونيو!C342,يوليو!C342,اغسطس!C342,سبتمبر!C342,نوفمبر!C342,'اكتوبر '!C342:G342,ديسمبر!C342)</f>
        <v/>
      </c>
      <c r="D342" s="68"/>
      <c r="E342" s="68"/>
      <c r="F342" s="68"/>
      <c r="G342" s="69"/>
      <c r="H342" s="7"/>
      <c r="I342" s="7"/>
      <c r="J342" s="7"/>
      <c r="K342" s="7"/>
      <c r="L342" s="70"/>
      <c r="M342" s="70"/>
      <c r="N342" s="70"/>
      <c r="O342" s="70"/>
      <c r="P342" s="70"/>
    </row>
    <row r="343" spans="2:16" s="5" customFormat="1" thickTop="1" thickBot="1" x14ac:dyDescent="0.25">
      <c r="B343" s="6">
        <v>6</v>
      </c>
      <c r="C343" s="67" t="str">
        <f>CONCATENATE(يناير!C343,فبراير!C343,مارس!C343,ابريل!C343,مايو!C343,يونيو!C343,يوليو!C343,اغسطس!C343,سبتمبر!C343,نوفمبر!C343,'اكتوبر '!C343:G343,ديسمبر!C343)</f>
        <v/>
      </c>
      <c r="D343" s="68"/>
      <c r="E343" s="68"/>
      <c r="F343" s="68"/>
      <c r="G343" s="69"/>
      <c r="H343" s="7"/>
      <c r="I343" s="7"/>
      <c r="J343" s="7"/>
      <c r="K343" s="7"/>
      <c r="L343" s="70"/>
      <c r="M343" s="70"/>
      <c r="N343" s="70"/>
      <c r="O343" s="70"/>
      <c r="P343" s="70"/>
    </row>
    <row r="344" spans="2:16" s="5" customFormat="1" thickTop="1" thickBot="1" x14ac:dyDescent="0.25">
      <c r="B344" s="6">
        <v>7</v>
      </c>
      <c r="C344" s="67" t="str">
        <f>CONCATENATE(يناير!C344,فبراير!C344,مارس!C344,ابريل!C344,مايو!C344,يونيو!C344,يوليو!C344,اغسطس!C344,سبتمبر!C344,نوفمبر!C344,'اكتوبر '!C344:G344,ديسمبر!C344)</f>
        <v/>
      </c>
      <c r="D344" s="68"/>
      <c r="E344" s="68"/>
      <c r="F344" s="68"/>
      <c r="G344" s="69"/>
      <c r="H344" s="7"/>
      <c r="I344" s="7"/>
      <c r="J344" s="7"/>
      <c r="K344" s="7"/>
      <c r="L344" s="70"/>
      <c r="M344" s="70"/>
      <c r="N344" s="70"/>
      <c r="O344" s="70"/>
      <c r="P344" s="70"/>
    </row>
    <row r="345" spans="2:16" s="5" customFormat="1" thickTop="1" thickBot="1" x14ac:dyDescent="0.25">
      <c r="B345" s="6">
        <v>8</v>
      </c>
      <c r="C345" s="67" t="str">
        <f>CONCATENATE(يناير!C345,فبراير!C345,مارس!C345,ابريل!C345,مايو!C345,يونيو!C345,يوليو!C345,اغسطس!C345,سبتمبر!C345,نوفمبر!C345,'اكتوبر '!C345:G345,ديسمبر!C345)</f>
        <v/>
      </c>
      <c r="D345" s="68"/>
      <c r="E345" s="68"/>
      <c r="F345" s="68"/>
      <c r="G345" s="69"/>
      <c r="H345" s="7"/>
      <c r="I345" s="7"/>
      <c r="J345" s="7"/>
      <c r="K345" s="7"/>
      <c r="L345" s="70"/>
      <c r="M345" s="70"/>
      <c r="N345" s="70"/>
      <c r="O345" s="70"/>
      <c r="P345" s="70"/>
    </row>
    <row r="346" spans="2:16" s="5" customFormat="1" thickTop="1" thickBot="1" x14ac:dyDescent="0.25">
      <c r="B346" s="6">
        <v>9</v>
      </c>
      <c r="C346" s="67" t="str">
        <f>CONCATENATE(يناير!C346,فبراير!C346,مارس!C346,ابريل!C346,مايو!C346,يونيو!C346,يوليو!C346,اغسطس!C346,سبتمبر!C346,نوفمبر!C346,'اكتوبر '!C346:G346,ديسمبر!C346)</f>
        <v/>
      </c>
      <c r="D346" s="68"/>
      <c r="E346" s="68"/>
      <c r="F346" s="68"/>
      <c r="G346" s="69"/>
      <c r="H346" s="7"/>
      <c r="I346" s="7"/>
      <c r="J346" s="7"/>
      <c r="K346" s="7"/>
      <c r="L346" s="70"/>
      <c r="M346" s="70"/>
      <c r="N346" s="70"/>
      <c r="O346" s="70"/>
      <c r="P346" s="70"/>
    </row>
    <row r="347" spans="2:16" s="5" customFormat="1" thickTop="1" thickBot="1" x14ac:dyDescent="0.25">
      <c r="B347" s="6">
        <v>10</v>
      </c>
      <c r="C347" s="67" t="str">
        <f>CONCATENATE(يناير!C347,فبراير!C347,مارس!C347,ابريل!C347,مايو!C347,يونيو!C347,يوليو!C347,اغسطس!C347,سبتمبر!C347,نوفمبر!C347,'اكتوبر '!C347:G347,ديسمبر!C347)</f>
        <v/>
      </c>
      <c r="D347" s="68"/>
      <c r="E347" s="68"/>
      <c r="F347" s="68"/>
      <c r="G347" s="69"/>
      <c r="H347" s="7"/>
      <c r="I347" s="7"/>
      <c r="J347" s="7"/>
      <c r="K347" s="7"/>
      <c r="L347" s="70"/>
      <c r="M347" s="70"/>
      <c r="N347" s="70"/>
      <c r="O347" s="70"/>
      <c r="P347" s="70"/>
    </row>
    <row r="348" spans="2:16" s="5" customFormat="1" thickTop="1" thickBot="1" x14ac:dyDescent="0.25">
      <c r="B348" s="6">
        <v>11</v>
      </c>
      <c r="C348" s="67" t="str">
        <f>CONCATENATE(يناير!C348,فبراير!C348,مارس!C348,ابريل!C348,مايو!C348,يونيو!C348,يوليو!C348,اغسطس!C348,سبتمبر!C348,نوفمبر!C348,'اكتوبر '!C348:G348,ديسمبر!C348)</f>
        <v/>
      </c>
      <c r="D348" s="68"/>
      <c r="E348" s="68"/>
      <c r="F348" s="68"/>
      <c r="G348" s="69"/>
      <c r="H348" s="7"/>
      <c r="I348" s="7"/>
      <c r="J348" s="7"/>
      <c r="K348" s="7"/>
      <c r="L348" s="70"/>
      <c r="M348" s="70"/>
      <c r="N348" s="70"/>
      <c r="O348" s="70"/>
      <c r="P348" s="70"/>
    </row>
    <row r="349" spans="2:16" s="5" customFormat="1" thickTop="1" thickBot="1" x14ac:dyDescent="0.25">
      <c r="B349" s="6">
        <v>12</v>
      </c>
      <c r="C349" s="67" t="str">
        <f>CONCATENATE(يناير!C349,فبراير!C349,مارس!C349,ابريل!C349,مايو!C349,يونيو!C349,يوليو!C349,اغسطس!C349,سبتمبر!C349,نوفمبر!C349,'اكتوبر '!C349:G349,ديسمبر!C349)</f>
        <v/>
      </c>
      <c r="D349" s="68"/>
      <c r="E349" s="68"/>
      <c r="F349" s="68"/>
      <c r="G349" s="69"/>
      <c r="H349" s="7"/>
      <c r="I349" s="7"/>
      <c r="J349" s="7"/>
      <c r="K349" s="7"/>
      <c r="L349" s="70"/>
      <c r="M349" s="70"/>
      <c r="N349" s="70"/>
      <c r="O349" s="70"/>
      <c r="P349" s="70"/>
    </row>
    <row r="350" spans="2:16" s="5" customFormat="1" thickTop="1" thickBot="1" x14ac:dyDescent="0.25">
      <c r="B350" s="6">
        <v>13</v>
      </c>
      <c r="C350" s="67" t="str">
        <f>CONCATENATE(يناير!C350,فبراير!C350,مارس!C350,ابريل!C350,مايو!C350,يونيو!C350,يوليو!C350,اغسطس!C350,سبتمبر!C350,نوفمبر!C350,'اكتوبر '!C350:G350,ديسمبر!C350)</f>
        <v/>
      </c>
      <c r="D350" s="68"/>
      <c r="E350" s="68"/>
      <c r="F350" s="68"/>
      <c r="G350" s="69"/>
      <c r="H350" s="7"/>
      <c r="I350" s="7"/>
      <c r="J350" s="7"/>
      <c r="K350" s="7"/>
      <c r="L350" s="70"/>
      <c r="M350" s="70"/>
      <c r="N350" s="70"/>
      <c r="O350" s="70"/>
      <c r="P350" s="70"/>
    </row>
    <row r="351" spans="2:16" s="5" customFormat="1" thickTop="1" thickBot="1" x14ac:dyDescent="0.25">
      <c r="B351" s="6">
        <v>14</v>
      </c>
      <c r="C351" s="67" t="str">
        <f>CONCATENATE(يناير!C351,فبراير!C351,مارس!C351,ابريل!C351,مايو!C351,يونيو!C351,يوليو!C351,اغسطس!C351,سبتمبر!C351,نوفمبر!C351,'اكتوبر '!C351:G351,ديسمبر!C351)</f>
        <v/>
      </c>
      <c r="D351" s="68"/>
      <c r="E351" s="68"/>
      <c r="F351" s="68"/>
      <c r="G351" s="69"/>
      <c r="H351" s="7"/>
      <c r="I351" s="7"/>
      <c r="J351" s="7"/>
      <c r="K351" s="7"/>
      <c r="L351" s="70"/>
      <c r="M351" s="70"/>
      <c r="N351" s="70"/>
      <c r="O351" s="70"/>
      <c r="P351" s="70"/>
    </row>
    <row r="352" spans="2:16" s="5" customFormat="1" thickTop="1" thickBot="1" x14ac:dyDescent="0.25">
      <c r="B352" s="6">
        <v>15</v>
      </c>
      <c r="C352" s="67" t="str">
        <f>CONCATENATE(يناير!C352,فبراير!C352,مارس!C352,ابريل!C352,مايو!C352,يونيو!C352,يوليو!C352,اغسطس!C352,سبتمبر!C352,نوفمبر!C352,'اكتوبر '!C352:G352,ديسمبر!C352)</f>
        <v/>
      </c>
      <c r="D352" s="68"/>
      <c r="E352" s="68"/>
      <c r="F352" s="68"/>
      <c r="G352" s="69"/>
      <c r="H352" s="7"/>
      <c r="I352" s="7"/>
      <c r="J352" s="7"/>
      <c r="K352" s="7"/>
      <c r="L352" s="70"/>
      <c r="M352" s="70"/>
      <c r="N352" s="70"/>
      <c r="O352" s="70"/>
      <c r="P352" s="70"/>
    </row>
    <row r="353" spans="2:17" s="5" customFormat="1" thickTop="1" thickBot="1" x14ac:dyDescent="0.25">
      <c r="B353" s="6">
        <v>16</v>
      </c>
      <c r="C353" s="67" t="str">
        <f>CONCATENATE(يناير!C353,فبراير!C353,مارس!C353,ابريل!C353,مايو!C353,يونيو!C353,يوليو!C353,اغسطس!C353,سبتمبر!C353,نوفمبر!C353,'اكتوبر '!C353:G353,ديسمبر!C353)</f>
        <v/>
      </c>
      <c r="D353" s="68"/>
      <c r="E353" s="68"/>
      <c r="F353" s="68"/>
      <c r="G353" s="69"/>
      <c r="H353" s="7"/>
      <c r="I353" s="7"/>
      <c r="J353" s="7"/>
      <c r="K353" s="7"/>
      <c r="L353" s="70"/>
      <c r="M353" s="70"/>
      <c r="N353" s="70"/>
      <c r="O353" s="70"/>
      <c r="P353" s="70"/>
    </row>
    <row r="354" spans="2:17" s="5" customFormat="1" thickTop="1" thickBot="1" x14ac:dyDescent="0.25">
      <c r="B354" s="6">
        <v>17</v>
      </c>
      <c r="C354" s="67" t="str">
        <f>CONCATENATE(يناير!C354,فبراير!C354,مارس!C354,ابريل!C354,مايو!C354,يونيو!C354,يوليو!C354,اغسطس!C354,سبتمبر!C354,نوفمبر!C354,'اكتوبر '!C354:G354,ديسمبر!C354)</f>
        <v/>
      </c>
      <c r="D354" s="68"/>
      <c r="E354" s="68"/>
      <c r="F354" s="68"/>
      <c r="G354" s="69"/>
      <c r="H354" s="7"/>
      <c r="I354" s="7"/>
      <c r="J354" s="7"/>
      <c r="K354" s="7"/>
      <c r="L354" s="70"/>
      <c r="M354" s="70"/>
      <c r="N354" s="70"/>
      <c r="O354" s="70"/>
      <c r="P354" s="70"/>
    </row>
    <row r="355" spans="2:17" s="5" customFormat="1" thickTop="1" thickBot="1" x14ac:dyDescent="0.25">
      <c r="B355" s="6">
        <v>18</v>
      </c>
      <c r="C355" s="67" t="str">
        <f>CONCATENATE(يناير!C355,فبراير!C355,مارس!C355,ابريل!C355,مايو!C355,يونيو!C355,يوليو!C355,اغسطس!C355,سبتمبر!C355,نوفمبر!C355,'اكتوبر '!C355:G355,ديسمبر!C355)</f>
        <v/>
      </c>
      <c r="D355" s="68"/>
      <c r="E355" s="68"/>
      <c r="F355" s="68"/>
      <c r="G355" s="69"/>
      <c r="H355" s="7"/>
      <c r="I355" s="7"/>
      <c r="J355" s="7"/>
      <c r="K355" s="7"/>
      <c r="L355" s="70"/>
      <c r="M355" s="70"/>
      <c r="N355" s="70"/>
      <c r="O355" s="70"/>
      <c r="P355" s="70"/>
      <c r="Q355" s="25"/>
    </row>
    <row r="356" spans="2:17" s="5" customFormat="1" thickTop="1" thickBot="1" x14ac:dyDescent="0.25">
      <c r="B356" s="6">
        <v>19</v>
      </c>
      <c r="C356" s="67" t="str">
        <f>CONCATENATE(يناير!C356,فبراير!C356,مارس!C356,ابريل!C356,مايو!C356,يونيو!C356,يوليو!C356,اغسطس!C356,سبتمبر!C356,نوفمبر!C356,'اكتوبر '!C356:G356,ديسمبر!C356)</f>
        <v/>
      </c>
      <c r="D356" s="68"/>
      <c r="E356" s="68"/>
      <c r="F356" s="68"/>
      <c r="G356" s="69"/>
      <c r="H356" s="7"/>
      <c r="I356" s="7"/>
      <c r="J356" s="7"/>
      <c r="K356" s="7"/>
      <c r="L356" s="70"/>
      <c r="M356" s="70"/>
      <c r="N356" s="70"/>
      <c r="O356" s="70"/>
      <c r="P356" s="70"/>
      <c r="Q356" s="25"/>
    </row>
    <row r="357" spans="2:17" s="5" customFormat="1" thickTop="1" thickBot="1" x14ac:dyDescent="0.25">
      <c r="B357" s="6">
        <v>20</v>
      </c>
      <c r="C357" s="67" t="str">
        <f>CONCATENATE(يناير!C357,فبراير!C357,مارس!C357,ابريل!C357,مايو!C357,يونيو!C357,يوليو!C357,اغسطس!C357,سبتمبر!C357,نوفمبر!C357,'اكتوبر '!C357:G357,ديسمبر!C357)</f>
        <v/>
      </c>
      <c r="D357" s="68"/>
      <c r="E357" s="68"/>
      <c r="F357" s="68"/>
      <c r="G357" s="69"/>
      <c r="H357" s="7"/>
      <c r="I357" s="7"/>
      <c r="J357" s="7"/>
      <c r="K357" s="7"/>
      <c r="L357" s="70"/>
      <c r="M357" s="70"/>
      <c r="N357" s="70"/>
      <c r="O357" s="70"/>
      <c r="P357" s="70"/>
      <c r="Q357" s="25"/>
    </row>
    <row r="358" spans="2:17" s="5" customFormat="1" thickTop="1" thickBot="1" x14ac:dyDescent="0.25">
      <c r="B358" s="6">
        <v>21</v>
      </c>
      <c r="C358" s="67" t="str">
        <f>CONCATENATE(يناير!C358,فبراير!C358,مارس!C358,ابريل!C358,مايو!C358,يونيو!C358,يوليو!C358,اغسطس!C358,سبتمبر!C358,نوفمبر!C358,'اكتوبر '!C358:G358,ديسمبر!C358)</f>
        <v/>
      </c>
      <c r="D358" s="68"/>
      <c r="E358" s="68"/>
      <c r="F358" s="68"/>
      <c r="G358" s="69"/>
      <c r="H358" s="7"/>
      <c r="I358" s="7"/>
      <c r="J358" s="7"/>
      <c r="K358" s="7"/>
      <c r="L358" s="70"/>
      <c r="M358" s="70"/>
      <c r="N358" s="70"/>
      <c r="O358" s="70"/>
      <c r="P358" s="70"/>
      <c r="Q358" s="25"/>
    </row>
    <row r="359" spans="2:17" s="5" customFormat="1" thickTop="1" thickBot="1" x14ac:dyDescent="0.25">
      <c r="B359" s="6">
        <v>22</v>
      </c>
      <c r="C359" s="67" t="str">
        <f>CONCATENATE(يناير!C359,فبراير!C359,مارس!C359,ابريل!C359,مايو!C359,يونيو!C359,يوليو!C359,اغسطس!C359,سبتمبر!C359,نوفمبر!C359,'اكتوبر '!C359:G359,ديسمبر!C359)</f>
        <v/>
      </c>
      <c r="D359" s="68"/>
      <c r="E359" s="68"/>
      <c r="F359" s="68"/>
      <c r="G359" s="69"/>
      <c r="H359" s="7"/>
      <c r="I359" s="7"/>
      <c r="J359" s="7"/>
      <c r="K359" s="7"/>
      <c r="L359" s="70"/>
      <c r="M359" s="70"/>
      <c r="N359" s="70"/>
      <c r="O359" s="70"/>
      <c r="P359" s="70"/>
      <c r="Q359" s="25"/>
    </row>
    <row r="360" spans="2:17" s="5" customFormat="1" thickTop="1" thickBot="1" x14ac:dyDescent="0.25">
      <c r="B360" s="6">
        <v>23</v>
      </c>
      <c r="C360" s="67" t="str">
        <f>CONCATENATE(يناير!C360,فبراير!C360,مارس!C360,ابريل!C360,مايو!C360,يونيو!C360,يوليو!C360,اغسطس!C360,سبتمبر!C360,نوفمبر!C360,'اكتوبر '!C360:G360,ديسمبر!C360)</f>
        <v/>
      </c>
      <c r="D360" s="68"/>
      <c r="E360" s="68"/>
      <c r="F360" s="68"/>
      <c r="G360" s="69"/>
      <c r="H360" s="7"/>
      <c r="I360" s="7"/>
      <c r="J360" s="7"/>
      <c r="K360" s="7"/>
      <c r="L360" s="70"/>
      <c r="M360" s="70"/>
      <c r="N360" s="70"/>
      <c r="O360" s="70"/>
      <c r="P360" s="70"/>
      <c r="Q360" s="25"/>
    </row>
    <row r="361" spans="2:17" s="5" customFormat="1" thickTop="1" thickBot="1" x14ac:dyDescent="0.25">
      <c r="B361" s="6">
        <v>24</v>
      </c>
      <c r="C361" s="67" t="str">
        <f>CONCATENATE(يناير!C361,فبراير!C361,مارس!C361,ابريل!C361,مايو!C361,يونيو!C361,يوليو!C361,اغسطس!C361,سبتمبر!C361,نوفمبر!C361,'اكتوبر '!C361:G361,ديسمبر!C361)</f>
        <v/>
      </c>
      <c r="D361" s="68"/>
      <c r="E361" s="68"/>
      <c r="F361" s="68"/>
      <c r="G361" s="69"/>
      <c r="H361" s="7"/>
      <c r="I361" s="7"/>
      <c r="J361" s="7"/>
      <c r="K361" s="7"/>
      <c r="L361" s="70"/>
      <c r="M361" s="70"/>
      <c r="N361" s="70"/>
      <c r="O361" s="70"/>
      <c r="P361" s="70"/>
    </row>
    <row r="362" spans="2:17" s="5" customFormat="1" thickTop="1" thickBot="1" x14ac:dyDescent="0.25">
      <c r="B362" s="6">
        <v>25</v>
      </c>
      <c r="C362" s="67" t="str">
        <f>CONCATENATE(يناير!C362,فبراير!C362,مارس!C362,ابريل!C362,مايو!C362,يونيو!C362,يوليو!C362,اغسطس!C362,سبتمبر!C362,نوفمبر!C362,'اكتوبر '!C362:G362,ديسمبر!C362)</f>
        <v/>
      </c>
      <c r="D362" s="68"/>
      <c r="E362" s="68"/>
      <c r="F362" s="68"/>
      <c r="G362" s="69"/>
      <c r="H362" s="7"/>
      <c r="I362" s="7"/>
      <c r="J362" s="7"/>
      <c r="K362" s="7"/>
      <c r="L362" s="70"/>
      <c r="M362" s="70"/>
      <c r="N362" s="70"/>
      <c r="O362" s="70"/>
      <c r="P362" s="70"/>
    </row>
    <row r="363" spans="2:17" s="5" customFormat="1" thickTop="1" thickBot="1" x14ac:dyDescent="0.25">
      <c r="B363" s="6">
        <v>26</v>
      </c>
      <c r="C363" s="67" t="str">
        <f>CONCATENATE(يناير!C363,فبراير!C363,مارس!C363,ابريل!C363,مايو!C363,يونيو!C363,يوليو!C363,اغسطس!C363,سبتمبر!C363,نوفمبر!C363,'اكتوبر '!C363:G363,ديسمبر!C363)</f>
        <v/>
      </c>
      <c r="D363" s="68"/>
      <c r="E363" s="68"/>
      <c r="F363" s="68"/>
      <c r="G363" s="69"/>
      <c r="H363" s="7"/>
      <c r="I363" s="7"/>
      <c r="J363" s="7"/>
      <c r="K363" s="7"/>
      <c r="L363" s="7"/>
      <c r="M363" s="7"/>
      <c r="N363" s="7"/>
      <c r="O363" s="7"/>
      <c r="P363" s="7"/>
    </row>
    <row r="364" spans="2:17" s="5" customFormat="1" thickTop="1" thickBot="1" x14ac:dyDescent="0.25">
      <c r="B364" s="6">
        <v>27</v>
      </c>
      <c r="C364" s="67" t="str">
        <f>CONCATENATE(يناير!C364,فبراير!C364,مارس!C364,ابريل!C364,مايو!C364,يونيو!C364,يوليو!C364,اغسطس!C364,سبتمبر!C364,نوفمبر!C364,'اكتوبر '!C364:G364,ديسمبر!C364)</f>
        <v/>
      </c>
      <c r="D364" s="68"/>
      <c r="E364" s="68"/>
      <c r="F364" s="68"/>
      <c r="G364" s="69"/>
      <c r="H364" s="7"/>
      <c r="I364" s="7"/>
      <c r="J364" s="7"/>
      <c r="K364" s="7"/>
      <c r="L364" s="7"/>
      <c r="M364" s="7"/>
      <c r="N364" s="7"/>
      <c r="O364" s="7"/>
      <c r="P364" s="7"/>
    </row>
    <row r="365" spans="2:17" s="5" customFormat="1" thickTop="1" thickBot="1" x14ac:dyDescent="0.25">
      <c r="B365" s="6">
        <v>28</v>
      </c>
      <c r="C365" s="67" t="str">
        <f>CONCATENATE(يناير!C365,فبراير!C365,مارس!C365,ابريل!C365,مايو!C365,يونيو!C365,يوليو!C365,اغسطس!C365,سبتمبر!C365,نوفمبر!C365,'اكتوبر '!C365:G365,ديسمبر!C365)</f>
        <v/>
      </c>
      <c r="D365" s="68"/>
      <c r="E365" s="68"/>
      <c r="F365" s="68"/>
      <c r="G365" s="69"/>
      <c r="H365" s="7"/>
      <c r="I365" s="7"/>
      <c r="J365" s="7"/>
      <c r="K365" s="7"/>
      <c r="L365" s="70"/>
      <c r="M365" s="70"/>
      <c r="N365" s="70"/>
      <c r="O365" s="70"/>
      <c r="P365" s="70"/>
    </row>
    <row r="366" spans="2:17" s="5" customFormat="1" ht="13.5" thickTop="1" x14ac:dyDescent="0.2">
      <c r="B366" s="7"/>
      <c r="C366" s="54"/>
      <c r="D366" s="54"/>
      <c r="E366" s="54"/>
      <c r="F366" s="54"/>
      <c r="G366" s="54"/>
      <c r="H366" s="7"/>
      <c r="I366" s="7"/>
      <c r="J366" s="7"/>
      <c r="K366" s="7"/>
      <c r="L366" s="7"/>
      <c r="M366" s="7"/>
      <c r="N366" s="7"/>
      <c r="O366" s="7"/>
      <c r="P366" s="7"/>
    </row>
    <row r="367" spans="2:17" s="5" customFormat="1" ht="12.75" x14ac:dyDescent="0.2"/>
    <row r="368" spans="2:17" s="5" customFormat="1" ht="13.5" thickBot="1" x14ac:dyDescent="0.25"/>
    <row r="369" spans="2:6" s="5" customFormat="1" ht="17.25" thickTop="1" thickBot="1" x14ac:dyDescent="0.25">
      <c r="B369" s="71" t="s">
        <v>148</v>
      </c>
      <c r="C369" s="72"/>
      <c r="D369" s="72"/>
      <c r="E369" s="72"/>
      <c r="F369" s="73"/>
    </row>
    <row r="370" spans="2:6" s="5" customFormat="1" thickTop="1" thickBot="1" x14ac:dyDescent="0.25">
      <c r="B370" s="50" t="s">
        <v>0</v>
      </c>
      <c r="C370" s="46" t="s">
        <v>44</v>
      </c>
      <c r="D370" s="46" t="s">
        <v>1</v>
      </c>
      <c r="E370" s="46" t="s">
        <v>83</v>
      </c>
      <c r="F370" s="46" t="s">
        <v>84</v>
      </c>
    </row>
    <row r="371" spans="2:6" s="5" customFormat="1" thickTop="1" thickBot="1" x14ac:dyDescent="0.25">
      <c r="B371" s="26">
        <v>1</v>
      </c>
      <c r="C371" s="6" t="s">
        <v>12</v>
      </c>
      <c r="D371" s="6" t="s">
        <v>3</v>
      </c>
      <c r="E371" s="61">
        <f>SUM(ديسمبر!E371+نوفمبر!E371+'اكتوبر '!E371+سبتمبر!E371+اغسطس!E371+يوليو!E371+يونيو!E371+مايو!E371+ابريل!E371+مارس!E371+فبراير!E371+يناير!E371)</f>
        <v>0</v>
      </c>
      <c r="F371" s="11">
        <f>E371/1000</f>
        <v>0</v>
      </c>
    </row>
    <row r="372" spans="2:6" s="5" customFormat="1" thickTop="1" thickBot="1" x14ac:dyDescent="0.25">
      <c r="B372" s="26">
        <v>2</v>
      </c>
      <c r="C372" s="6" t="s">
        <v>13</v>
      </c>
      <c r="D372" s="6" t="s">
        <v>3</v>
      </c>
      <c r="E372" s="61">
        <f>SUM(ديسمبر!E372+نوفمبر!E372+'اكتوبر '!E372+سبتمبر!E372+اغسطس!E372+يوليو!E372+يونيو!E372+مايو!E372+ابريل!E372+مارس!E372+فبراير!E372+يناير!E372)</f>
        <v>0</v>
      </c>
      <c r="F372" s="11">
        <f t="shared" ref="F372:F381" si="6">E372/1000</f>
        <v>0</v>
      </c>
    </row>
    <row r="373" spans="2:6" s="5" customFormat="1" thickTop="1" thickBot="1" x14ac:dyDescent="0.25">
      <c r="B373" s="26">
        <v>3</v>
      </c>
      <c r="C373" s="6" t="s">
        <v>17</v>
      </c>
      <c r="D373" s="6" t="s">
        <v>3</v>
      </c>
      <c r="E373" s="61">
        <f>SUM(ديسمبر!E373+نوفمبر!E373+'اكتوبر '!E373+سبتمبر!E373+اغسطس!E373+يوليو!E373+يونيو!E373+مايو!E373+ابريل!E373+مارس!E373+فبراير!E373+يناير!E373)</f>
        <v>0</v>
      </c>
      <c r="F373" s="11">
        <f t="shared" si="6"/>
        <v>0</v>
      </c>
    </row>
    <row r="374" spans="2:6" s="5" customFormat="1" thickTop="1" thickBot="1" x14ac:dyDescent="0.25">
      <c r="B374" s="26">
        <v>4</v>
      </c>
      <c r="C374" s="6" t="s">
        <v>16</v>
      </c>
      <c r="D374" s="6" t="s">
        <v>3</v>
      </c>
      <c r="E374" s="61">
        <f>SUM(ديسمبر!E374+نوفمبر!E374+'اكتوبر '!E374+سبتمبر!E374+اغسطس!E374+يوليو!E374+يونيو!E374+مايو!E374+ابريل!E374+مارس!E374+فبراير!E374+يناير!E374)</f>
        <v>0</v>
      </c>
      <c r="F374" s="11">
        <f t="shared" si="6"/>
        <v>0</v>
      </c>
    </row>
    <row r="375" spans="2:6" s="5" customFormat="1" thickTop="1" thickBot="1" x14ac:dyDescent="0.25">
      <c r="B375" s="26">
        <v>5</v>
      </c>
      <c r="C375" s="6" t="s">
        <v>14</v>
      </c>
      <c r="D375" s="6" t="s">
        <v>3</v>
      </c>
      <c r="E375" s="61">
        <f>SUM(ديسمبر!E375+نوفمبر!E375+'اكتوبر '!E375+سبتمبر!E375+اغسطس!E375+يوليو!E375+يونيو!E375+مايو!E375+ابريل!E375+مارس!E375+فبراير!E375+يناير!E375)</f>
        <v>0</v>
      </c>
      <c r="F375" s="11">
        <f t="shared" si="6"/>
        <v>0</v>
      </c>
    </row>
    <row r="376" spans="2:6" s="5" customFormat="1" thickTop="1" thickBot="1" x14ac:dyDescent="0.25">
      <c r="B376" s="26">
        <v>6</v>
      </c>
      <c r="C376" s="6" t="s">
        <v>15</v>
      </c>
      <c r="D376" s="6" t="s">
        <v>3</v>
      </c>
      <c r="E376" s="61">
        <f>SUM(ديسمبر!E376+نوفمبر!E376+'اكتوبر '!E376+سبتمبر!E376+اغسطس!E376+يوليو!E376+يونيو!E376+مايو!E376+ابريل!E376+مارس!E376+فبراير!E376+يناير!E376)</f>
        <v>0</v>
      </c>
      <c r="F376" s="11">
        <f t="shared" si="6"/>
        <v>0</v>
      </c>
    </row>
    <row r="377" spans="2:6" s="5" customFormat="1" thickTop="1" thickBot="1" x14ac:dyDescent="0.25">
      <c r="B377" s="26">
        <v>7</v>
      </c>
      <c r="C377" s="6" t="s">
        <v>116</v>
      </c>
      <c r="D377" s="6" t="s">
        <v>3</v>
      </c>
      <c r="E377" s="61">
        <f>SUM(ديسمبر!E377+نوفمبر!E377+'اكتوبر '!E377+سبتمبر!E377+اغسطس!E377+يوليو!E377+يونيو!E377+مايو!E377+ابريل!E377+مارس!E377+فبراير!E377+يناير!E377)</f>
        <v>0</v>
      </c>
      <c r="F377" s="11">
        <f t="shared" si="6"/>
        <v>0</v>
      </c>
    </row>
    <row r="378" spans="2:6" s="5" customFormat="1" thickTop="1" thickBot="1" x14ac:dyDescent="0.25">
      <c r="B378" s="26">
        <v>8</v>
      </c>
      <c r="C378" s="6" t="s">
        <v>115</v>
      </c>
      <c r="D378" s="6" t="s">
        <v>3</v>
      </c>
      <c r="E378" s="61">
        <f>SUM(ديسمبر!E378+نوفمبر!E378+'اكتوبر '!E378+سبتمبر!E378+اغسطس!E378+يوليو!E378+يونيو!E378+مايو!E378+ابريل!E378+مارس!E378+فبراير!E378+يناير!E378)</f>
        <v>0</v>
      </c>
      <c r="F378" s="11">
        <f t="shared" si="6"/>
        <v>0</v>
      </c>
    </row>
    <row r="379" spans="2:6" s="5" customFormat="1" thickTop="1" thickBot="1" x14ac:dyDescent="0.25">
      <c r="B379" s="26">
        <v>9</v>
      </c>
      <c r="C379" s="6" t="s">
        <v>114</v>
      </c>
      <c r="D379" s="6" t="s">
        <v>3</v>
      </c>
      <c r="E379" s="61">
        <f>SUM(ديسمبر!E379+نوفمبر!E379+'اكتوبر '!E379+سبتمبر!E379+اغسطس!E379+يوليو!E379+يونيو!E379+مايو!E379+ابريل!E379+مارس!E379+فبراير!E379+يناير!E379)</f>
        <v>0</v>
      </c>
      <c r="F379" s="11">
        <f t="shared" si="6"/>
        <v>0</v>
      </c>
    </row>
    <row r="380" spans="2:6" s="5" customFormat="1" thickTop="1" thickBot="1" x14ac:dyDescent="0.25">
      <c r="B380" s="26">
        <v>10</v>
      </c>
      <c r="C380" s="6" t="s">
        <v>61</v>
      </c>
      <c r="D380" s="6" t="s">
        <v>3</v>
      </c>
      <c r="E380" s="61">
        <f>SUM(ديسمبر!E380+نوفمبر!E380+'اكتوبر '!E380+سبتمبر!E380+اغسطس!E380+يوليو!E380+يونيو!E380+مايو!E380+ابريل!E380+مارس!E380+فبراير!E380+يناير!E380)</f>
        <v>0</v>
      </c>
      <c r="F380" s="11">
        <f t="shared" si="6"/>
        <v>0</v>
      </c>
    </row>
    <row r="381" spans="2:6" s="5" customFormat="1" thickTop="1" thickBot="1" x14ac:dyDescent="0.25">
      <c r="B381" s="26">
        <v>11</v>
      </c>
      <c r="C381" s="6" t="s">
        <v>63</v>
      </c>
      <c r="D381" s="6" t="s">
        <v>3</v>
      </c>
      <c r="E381" s="61">
        <f>SUM(ديسمبر!E381+نوفمبر!E381+'اكتوبر '!E381+سبتمبر!E381+اغسطس!E381+يوليو!E381+يونيو!E381+مايو!E381+ابريل!E381+مارس!E381+فبراير!E381+يناير!E381)</f>
        <v>0</v>
      </c>
      <c r="F381" s="11">
        <f t="shared" si="6"/>
        <v>0</v>
      </c>
    </row>
    <row r="382" spans="2:6" s="5" customFormat="1" thickTop="1" thickBot="1" x14ac:dyDescent="0.25">
      <c r="B382" s="74" t="s">
        <v>86</v>
      </c>
      <c r="C382" s="75"/>
      <c r="D382" s="76"/>
      <c r="E382" s="36">
        <f>SUM(E371:E381)</f>
        <v>0</v>
      </c>
      <c r="F382" s="37">
        <f>SUM(F371:F381)</f>
        <v>0</v>
      </c>
    </row>
    <row r="383" spans="2:6" s="5" customFormat="1" ht="17.25" thickTop="1" thickBot="1" x14ac:dyDescent="0.25">
      <c r="B383" s="71" t="s">
        <v>149</v>
      </c>
      <c r="C383" s="72"/>
      <c r="D383" s="72"/>
      <c r="E383" s="72"/>
      <c r="F383" s="73"/>
    </row>
    <row r="384" spans="2:6" s="5" customFormat="1" ht="31.5" customHeight="1" thickTop="1" thickBot="1" x14ac:dyDescent="0.25">
      <c r="B384" s="26">
        <v>11</v>
      </c>
      <c r="C384" s="9" t="s">
        <v>119</v>
      </c>
      <c r="D384" s="6" t="s">
        <v>42</v>
      </c>
      <c r="E384" s="61">
        <f>SUM(ديسمبر!E384+نوفمبر!E384+'اكتوبر '!E384+سبتمبر!E384+اغسطس!E384+يوليو!E384+يونيو!E384+مايو!E384+ابريل!E384+مارس!E384+فبراير!E384+يناير!E384)</f>
        <v>0</v>
      </c>
      <c r="F384" s="22"/>
    </row>
    <row r="385" spans="2:16" s="5" customFormat="1" thickTop="1" thickBot="1" x14ac:dyDescent="0.25">
      <c r="B385" s="26">
        <v>12</v>
      </c>
      <c r="C385" s="6" t="s">
        <v>18</v>
      </c>
      <c r="D385" s="6" t="s">
        <v>42</v>
      </c>
      <c r="E385" s="61">
        <f>SUM(ديسمبر!E385+نوفمبر!E385+'اكتوبر '!E385+سبتمبر!E385+اغسطس!E385+يوليو!E385+يونيو!E385+مايو!E385+ابريل!E385+مارس!E385+فبراير!E385+يناير!E385)</f>
        <v>0</v>
      </c>
      <c r="F385" s="22"/>
    </row>
    <row r="386" spans="2:16" s="5" customFormat="1" thickTop="1" thickBot="1" x14ac:dyDescent="0.25">
      <c r="B386" s="8"/>
      <c r="C386" s="7"/>
      <c r="D386" s="7"/>
      <c r="E386" s="7"/>
      <c r="F386" s="13"/>
    </row>
    <row r="387" spans="2:16" s="5" customFormat="1" ht="17.25" customHeight="1" thickTop="1" thickBot="1" x14ac:dyDescent="0.25">
      <c r="B387" s="47" t="s">
        <v>0</v>
      </c>
      <c r="C387" s="80" t="s">
        <v>81</v>
      </c>
      <c r="D387" s="80"/>
      <c r="E387" s="80"/>
      <c r="F387" s="80"/>
      <c r="G387" s="80"/>
      <c r="H387" s="8"/>
      <c r="I387" s="8"/>
      <c r="J387" s="8"/>
      <c r="K387" s="8"/>
      <c r="L387" s="8"/>
      <c r="M387" s="8"/>
      <c r="N387" s="8"/>
      <c r="O387" s="8"/>
      <c r="P387" s="8"/>
    </row>
    <row r="388" spans="2:16" s="5" customFormat="1" ht="17.25" customHeight="1" thickTop="1" thickBot="1" x14ac:dyDescent="0.25">
      <c r="B388" s="6">
        <v>1</v>
      </c>
      <c r="C388" s="67" t="str">
        <f>CONCATENATE(يناير!C388,فبراير!C388,مارس!C388,ابريل!C388,مايو!C388,يونيو!C388,يوليو!C388,اغسطس!C388,سبتمبر!C388,نوفمبر!C388,'اكتوبر '!C388:G388,ديسمبر!C388)</f>
        <v/>
      </c>
      <c r="D388" s="68"/>
      <c r="E388" s="68"/>
      <c r="F388" s="68"/>
      <c r="G388" s="69"/>
      <c r="H388" s="8"/>
      <c r="I388" s="8"/>
      <c r="J388" s="8"/>
      <c r="K388" s="8"/>
      <c r="L388" s="8"/>
      <c r="M388" s="8"/>
      <c r="N388" s="8"/>
      <c r="O388" s="8"/>
      <c r="P388" s="8"/>
    </row>
    <row r="389" spans="2:16" s="5" customFormat="1" ht="17.25" customHeight="1" thickTop="1" thickBot="1" x14ac:dyDescent="0.25">
      <c r="B389" s="6">
        <v>2</v>
      </c>
      <c r="C389" s="67" t="str">
        <f>CONCATENATE(يناير!C389,فبراير!C389,مارس!C389,ابريل!C389,مايو!C389,يونيو!C389,يوليو!C389,اغسطس!C389,سبتمبر!C389,نوفمبر!C389,'اكتوبر '!C389:G389,ديسمبر!C389)</f>
        <v/>
      </c>
      <c r="D389" s="68"/>
      <c r="E389" s="68"/>
      <c r="F389" s="68"/>
      <c r="G389" s="69"/>
      <c r="H389" s="8"/>
      <c r="I389" s="8"/>
      <c r="J389" s="8"/>
      <c r="K389" s="8"/>
      <c r="L389" s="8"/>
      <c r="M389" s="8"/>
      <c r="N389" s="8"/>
      <c r="O389" s="8"/>
      <c r="P389" s="8"/>
    </row>
    <row r="390" spans="2:16" s="5" customFormat="1" ht="17.25" customHeight="1" thickTop="1" thickBot="1" x14ac:dyDescent="0.25">
      <c r="B390" s="6">
        <v>3</v>
      </c>
      <c r="C390" s="67" t="str">
        <f>CONCATENATE(يناير!C390,فبراير!C390,مارس!C390,ابريل!C390,مايو!C390,يونيو!C390,يوليو!C390,اغسطس!C390,سبتمبر!C390,نوفمبر!C390,'اكتوبر '!C390:G390,ديسمبر!C390)</f>
        <v/>
      </c>
      <c r="D390" s="68"/>
      <c r="E390" s="68"/>
      <c r="F390" s="68"/>
      <c r="G390" s="69"/>
      <c r="H390" s="8"/>
      <c r="I390" s="8"/>
      <c r="J390" s="8"/>
      <c r="K390" s="8"/>
      <c r="L390" s="8"/>
      <c r="M390" s="8"/>
      <c r="N390" s="8"/>
      <c r="O390" s="8"/>
      <c r="P390" s="8"/>
    </row>
    <row r="391" spans="2:16" s="5" customFormat="1" ht="17.25" customHeight="1" thickTop="1" thickBot="1" x14ac:dyDescent="0.25">
      <c r="B391" s="6">
        <v>4</v>
      </c>
      <c r="C391" s="67" t="str">
        <f>CONCATENATE(يناير!C391,فبراير!C391,مارس!C391,ابريل!C391,مايو!C391,يونيو!C391,يوليو!C391,اغسطس!C391,سبتمبر!C391,نوفمبر!C391,'اكتوبر '!C391:G391,ديسمبر!C391)</f>
        <v/>
      </c>
      <c r="D391" s="68"/>
      <c r="E391" s="68"/>
      <c r="F391" s="68"/>
      <c r="G391" s="69"/>
      <c r="H391" s="8"/>
      <c r="I391" s="8"/>
      <c r="J391" s="8"/>
      <c r="K391" s="8"/>
      <c r="L391" s="8"/>
      <c r="M391" s="8"/>
      <c r="N391" s="8"/>
      <c r="O391" s="8"/>
      <c r="P391" s="8"/>
    </row>
    <row r="392" spans="2:16" s="5" customFormat="1" ht="17.25" customHeight="1" thickTop="1" thickBot="1" x14ac:dyDescent="0.25">
      <c r="B392" s="6">
        <v>5</v>
      </c>
      <c r="C392" s="67" t="str">
        <f>CONCATENATE(يناير!C392,فبراير!C392,مارس!C392,ابريل!C392,مايو!C392,يونيو!C392,يوليو!C392,اغسطس!C392,سبتمبر!C392,نوفمبر!C392,'اكتوبر '!C392:G392,ديسمبر!C392)</f>
        <v/>
      </c>
      <c r="D392" s="68"/>
      <c r="E392" s="68"/>
      <c r="F392" s="68"/>
      <c r="G392" s="69"/>
      <c r="H392" s="8"/>
      <c r="I392" s="8"/>
      <c r="J392" s="8"/>
      <c r="K392" s="8"/>
      <c r="L392" s="8"/>
      <c r="M392" s="8"/>
      <c r="N392" s="8"/>
      <c r="O392" s="8"/>
      <c r="P392" s="8"/>
    </row>
    <row r="393" spans="2:16" s="5" customFormat="1" ht="17.25" customHeight="1" thickTop="1" thickBot="1" x14ac:dyDescent="0.25">
      <c r="B393" s="6">
        <v>6</v>
      </c>
      <c r="C393" s="67" t="str">
        <f>CONCATENATE(يناير!C393,فبراير!C393,مارس!C393,ابريل!C393,مايو!C393,يونيو!C393,يوليو!C393,اغسطس!C393,سبتمبر!C393,نوفمبر!C393,'اكتوبر '!C393:G393,ديسمبر!C393)</f>
        <v/>
      </c>
      <c r="D393" s="68"/>
      <c r="E393" s="68"/>
      <c r="F393" s="68"/>
      <c r="G393" s="69"/>
      <c r="H393" s="8"/>
      <c r="I393" s="8"/>
      <c r="J393" s="8"/>
      <c r="K393" s="8"/>
      <c r="L393" s="8"/>
      <c r="M393" s="8"/>
      <c r="N393" s="8"/>
      <c r="O393" s="8"/>
      <c r="P393" s="8"/>
    </row>
    <row r="394" spans="2:16" s="5" customFormat="1" ht="17.25" customHeight="1" thickTop="1" thickBot="1" x14ac:dyDescent="0.25">
      <c r="B394" s="6">
        <v>7</v>
      </c>
      <c r="C394" s="67" t="str">
        <f>CONCATENATE(يناير!C394,فبراير!C394,مارس!C394,ابريل!C394,مايو!C394,يونيو!C394,يوليو!C394,اغسطس!C394,سبتمبر!C394,نوفمبر!C394,'اكتوبر '!C394:G394,ديسمبر!C394)</f>
        <v/>
      </c>
      <c r="D394" s="68"/>
      <c r="E394" s="68"/>
      <c r="F394" s="68"/>
      <c r="G394" s="69"/>
      <c r="H394" s="8"/>
      <c r="I394" s="8"/>
      <c r="J394" s="8"/>
      <c r="K394" s="8"/>
      <c r="L394" s="8"/>
      <c r="M394" s="8"/>
      <c r="N394" s="8"/>
      <c r="O394" s="8"/>
      <c r="P394" s="8"/>
    </row>
    <row r="395" spans="2:16" s="5" customFormat="1" ht="17.25" customHeight="1" thickTop="1" thickBot="1" x14ac:dyDescent="0.25">
      <c r="B395" s="6">
        <v>8</v>
      </c>
      <c r="C395" s="67" t="str">
        <f>CONCATENATE(يناير!C395,فبراير!C395,مارس!C395,ابريل!C395,مايو!C395,يونيو!C395,يوليو!C395,اغسطس!C395,سبتمبر!C395,نوفمبر!C395,'اكتوبر '!C395:G395,ديسمبر!C395)</f>
        <v/>
      </c>
      <c r="D395" s="68"/>
      <c r="E395" s="68"/>
      <c r="F395" s="68"/>
      <c r="G395" s="69"/>
      <c r="H395" s="8"/>
      <c r="I395" s="8"/>
      <c r="J395" s="8"/>
      <c r="K395" s="8"/>
      <c r="L395" s="8"/>
      <c r="M395" s="8"/>
      <c r="N395" s="8"/>
      <c r="O395" s="8"/>
      <c r="P395" s="8"/>
    </row>
    <row r="396" spans="2:16" s="5" customFormat="1" ht="17.25" customHeight="1" thickTop="1" thickBot="1" x14ac:dyDescent="0.25">
      <c r="B396" s="6">
        <v>9</v>
      </c>
      <c r="C396" s="67" t="str">
        <f>CONCATENATE(يناير!C396,فبراير!C396,مارس!C396,ابريل!C396,مايو!C396,يونيو!C396,يوليو!C396,اغسطس!C396,سبتمبر!C396,نوفمبر!C396,'اكتوبر '!C396:G396,ديسمبر!C396)</f>
        <v/>
      </c>
      <c r="D396" s="68"/>
      <c r="E396" s="68"/>
      <c r="F396" s="68"/>
      <c r="G396" s="69"/>
      <c r="H396" s="8"/>
      <c r="I396" s="8"/>
      <c r="J396" s="8"/>
      <c r="K396" s="8"/>
      <c r="L396" s="8"/>
      <c r="M396" s="8"/>
      <c r="N396" s="8"/>
      <c r="O396" s="8"/>
      <c r="P396" s="8"/>
    </row>
    <row r="397" spans="2:16" s="5" customFormat="1" ht="17.25" customHeight="1" thickTop="1" thickBot="1" x14ac:dyDescent="0.25">
      <c r="B397" s="6">
        <v>10</v>
      </c>
      <c r="C397" s="67" t="str">
        <f>CONCATENATE(يناير!C397,فبراير!C397,مارس!C397,ابريل!C397,مايو!C397,يونيو!C397,يوليو!C397,اغسطس!C397,سبتمبر!C397,نوفمبر!C397,'اكتوبر '!C397:G397,ديسمبر!C397)</f>
        <v/>
      </c>
      <c r="D397" s="68"/>
      <c r="E397" s="68"/>
      <c r="F397" s="68"/>
      <c r="G397" s="69"/>
      <c r="H397" s="8"/>
      <c r="I397" s="8"/>
      <c r="J397" s="8"/>
      <c r="K397" s="8"/>
      <c r="L397" s="8"/>
      <c r="M397" s="8"/>
      <c r="N397" s="8"/>
      <c r="O397" s="8"/>
      <c r="P397" s="8"/>
    </row>
    <row r="398" spans="2:16" s="5" customFormat="1" ht="17.25" customHeight="1" thickTop="1" thickBot="1" x14ac:dyDescent="0.25">
      <c r="B398" s="6">
        <v>11</v>
      </c>
      <c r="C398" s="67" t="str">
        <f>CONCATENATE(يناير!C398,فبراير!C398,مارس!C398,ابريل!C398,مايو!C398,يونيو!C398,يوليو!C398,اغسطس!C398,سبتمبر!C398,نوفمبر!C398,'اكتوبر '!C398:G398,ديسمبر!C398)</f>
        <v/>
      </c>
      <c r="D398" s="68"/>
      <c r="E398" s="68"/>
      <c r="F398" s="68"/>
      <c r="G398" s="69"/>
      <c r="H398" s="8"/>
      <c r="I398" s="8"/>
      <c r="J398" s="8"/>
      <c r="K398" s="8"/>
      <c r="L398" s="8"/>
      <c r="M398" s="8"/>
      <c r="N398" s="8"/>
      <c r="O398" s="8"/>
      <c r="P398" s="8"/>
    </row>
    <row r="399" spans="2:16" s="5" customFormat="1" ht="17.25" customHeight="1" thickTop="1" thickBot="1" x14ac:dyDescent="0.25">
      <c r="B399" s="6">
        <v>12</v>
      </c>
      <c r="C399" s="67" t="str">
        <f>CONCATENATE(يناير!C399,فبراير!C399,مارس!C399,ابريل!C399,مايو!C399,يونيو!C399,يوليو!C399,اغسطس!C399,سبتمبر!C399,نوفمبر!C399,'اكتوبر '!C399:G399,ديسمبر!C399)</f>
        <v/>
      </c>
      <c r="D399" s="68"/>
      <c r="E399" s="68"/>
      <c r="F399" s="68"/>
      <c r="G399" s="69"/>
      <c r="H399" s="8"/>
      <c r="I399" s="8"/>
      <c r="J399" s="8"/>
      <c r="K399" s="8"/>
      <c r="L399" s="8"/>
      <c r="M399" s="8"/>
      <c r="N399" s="8"/>
      <c r="O399" s="8"/>
      <c r="P399" s="8"/>
    </row>
    <row r="400" spans="2:16" s="5" customFormat="1" ht="17.25" customHeight="1" thickTop="1" x14ac:dyDescent="0.2"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  <c r="O400" s="8"/>
      <c r="P400" s="8"/>
    </row>
    <row r="401" spans="2:16" s="5" customFormat="1" ht="17.25" customHeight="1" x14ac:dyDescent="0.2">
      <c r="B401" s="7"/>
      <c r="C401" s="7"/>
      <c r="D401" s="7"/>
      <c r="E401" s="7"/>
      <c r="F401" s="7"/>
      <c r="G401" s="7"/>
      <c r="H401" s="8"/>
      <c r="I401" s="8"/>
      <c r="J401" s="8"/>
      <c r="K401" s="8"/>
      <c r="L401" s="8"/>
      <c r="M401" s="8"/>
      <c r="N401" s="8"/>
      <c r="O401" s="8"/>
      <c r="P401" s="8"/>
    </row>
    <row r="402" spans="2:16" s="5" customFormat="1" ht="17.25" customHeight="1" thickBot="1" x14ac:dyDescent="0.25">
      <c r="B402" s="7"/>
      <c r="C402" s="7"/>
      <c r="D402" s="7"/>
      <c r="E402" s="7"/>
      <c r="F402" s="7"/>
      <c r="G402" s="7"/>
      <c r="H402" s="8"/>
      <c r="I402" s="8"/>
      <c r="J402" s="8"/>
      <c r="K402" s="8"/>
      <c r="L402" s="8"/>
      <c r="M402" s="8"/>
      <c r="N402" s="8"/>
      <c r="O402" s="8"/>
      <c r="P402" s="8"/>
    </row>
    <row r="403" spans="2:16" s="5" customFormat="1" ht="17.25" thickTop="1" thickBot="1" x14ac:dyDescent="0.25">
      <c r="B403" s="71" t="s">
        <v>150</v>
      </c>
      <c r="C403" s="72"/>
      <c r="D403" s="72"/>
      <c r="E403" s="72"/>
      <c r="F403" s="72"/>
      <c r="G403" s="4"/>
    </row>
    <row r="404" spans="2:16" s="5" customFormat="1" thickTop="1" thickBot="1" x14ac:dyDescent="0.25">
      <c r="B404" s="48" t="s">
        <v>0</v>
      </c>
      <c r="C404" s="48" t="s">
        <v>44</v>
      </c>
      <c r="D404" s="48" t="s">
        <v>11</v>
      </c>
      <c r="E404" s="48" t="s">
        <v>83</v>
      </c>
      <c r="F404" s="49" t="s">
        <v>84</v>
      </c>
      <c r="G404" s="4"/>
    </row>
    <row r="405" spans="2:16" s="5" customFormat="1" thickTop="1" thickBot="1" x14ac:dyDescent="0.25">
      <c r="B405" s="6">
        <v>1</v>
      </c>
      <c r="C405" s="6" t="s">
        <v>20</v>
      </c>
      <c r="D405" s="6" t="s">
        <v>62</v>
      </c>
      <c r="E405" s="61">
        <f>SUM(ديسمبر!E405+نوفمبر!E405+'اكتوبر '!E405+سبتمبر!E405+اغسطس!E405+يوليو!E405+يونيو!E405+مايو!E405+ابريل!E405+مارس!E405+فبراير!E405+يناير!E405)</f>
        <v>0</v>
      </c>
      <c r="F405" s="22"/>
    </row>
    <row r="406" spans="2:16" s="5" customFormat="1" ht="17.25" customHeight="1" thickTop="1" thickBot="1" x14ac:dyDescent="0.25">
      <c r="B406" s="71" t="s">
        <v>151</v>
      </c>
      <c r="C406" s="72"/>
      <c r="D406" s="72"/>
      <c r="E406" s="72"/>
      <c r="F406" s="73"/>
    </row>
    <row r="407" spans="2:16" s="5" customFormat="1" thickTop="1" thickBot="1" x14ac:dyDescent="0.25">
      <c r="B407" s="6">
        <v>2</v>
      </c>
      <c r="C407" s="6" t="s">
        <v>19</v>
      </c>
      <c r="D407" s="6" t="s">
        <v>3</v>
      </c>
      <c r="E407" s="61">
        <f>SUM(ديسمبر!E407+نوفمبر!E407+'اكتوبر '!E407+سبتمبر!E407+اغسطس!E407+يوليو!E407+يونيو!E407+مايو!E407+ابريل!E407+مارس!E407+فبراير!E407+يناير!E407)</f>
        <v>0</v>
      </c>
      <c r="F407" s="11">
        <f t="shared" ref="F407:F413" si="7">E407/1000</f>
        <v>0</v>
      </c>
    </row>
    <row r="408" spans="2:16" s="5" customFormat="1" thickTop="1" thickBot="1" x14ac:dyDescent="0.25">
      <c r="B408" s="6">
        <v>3</v>
      </c>
      <c r="C408" s="6" t="s">
        <v>21</v>
      </c>
      <c r="D408" s="6" t="s">
        <v>3</v>
      </c>
      <c r="E408" s="61">
        <f>SUM(ديسمبر!E408+نوفمبر!E408+'اكتوبر '!E408+سبتمبر!E408+اغسطس!E408+يوليو!E408+يونيو!E408+مايو!E408+ابريل!E408+مارس!E408+فبراير!E408+يناير!E408)</f>
        <v>0</v>
      </c>
      <c r="F408" s="11">
        <f t="shared" si="7"/>
        <v>0</v>
      </c>
    </row>
    <row r="409" spans="2:16" s="5" customFormat="1" thickTop="1" thickBot="1" x14ac:dyDescent="0.25">
      <c r="B409" s="6">
        <v>4</v>
      </c>
      <c r="C409" s="6" t="s">
        <v>22</v>
      </c>
      <c r="D409" s="6" t="s">
        <v>3</v>
      </c>
      <c r="E409" s="61">
        <f>SUM(ديسمبر!E409+نوفمبر!E409+'اكتوبر '!E409+سبتمبر!E409+اغسطس!E409+يوليو!E409+يونيو!E409+مايو!E409+ابريل!E409+مارس!E409+فبراير!E409+يناير!E409)</f>
        <v>0</v>
      </c>
      <c r="F409" s="11">
        <f t="shared" si="7"/>
        <v>0</v>
      </c>
    </row>
    <row r="410" spans="2:16" s="5" customFormat="1" thickTop="1" thickBot="1" x14ac:dyDescent="0.25">
      <c r="B410" s="6">
        <v>5</v>
      </c>
      <c r="C410" s="6" t="s">
        <v>23</v>
      </c>
      <c r="D410" s="6" t="s">
        <v>3</v>
      </c>
      <c r="E410" s="61">
        <f>SUM(ديسمبر!E410+نوفمبر!E410+'اكتوبر '!E410+سبتمبر!E410+اغسطس!E410+يوليو!E410+يونيو!E410+مايو!E410+ابريل!E410+مارس!E410+فبراير!E410+يناير!E410)</f>
        <v>0</v>
      </c>
      <c r="F410" s="11">
        <f t="shared" si="7"/>
        <v>0</v>
      </c>
    </row>
    <row r="411" spans="2:16" s="5" customFormat="1" thickTop="1" thickBot="1" x14ac:dyDescent="0.25">
      <c r="B411" s="6">
        <v>6</v>
      </c>
      <c r="C411" s="6" t="s">
        <v>24</v>
      </c>
      <c r="D411" s="6" t="s">
        <v>3</v>
      </c>
      <c r="E411" s="61">
        <f>SUM(ديسمبر!E411+نوفمبر!E411+'اكتوبر '!E411+سبتمبر!E411+اغسطس!E411+يوليو!E411+يونيو!E411+مايو!E411+ابريل!E411+مارس!E411+فبراير!E411+يناير!E411)</f>
        <v>0</v>
      </c>
      <c r="F411" s="11">
        <f t="shared" si="7"/>
        <v>0</v>
      </c>
    </row>
    <row r="412" spans="2:16" s="5" customFormat="1" thickTop="1" thickBot="1" x14ac:dyDescent="0.25">
      <c r="B412" s="6">
        <v>7</v>
      </c>
      <c r="C412" s="6" t="s">
        <v>25</v>
      </c>
      <c r="D412" s="6" t="s">
        <v>3</v>
      </c>
      <c r="E412" s="61">
        <f>SUM(ديسمبر!E412+نوفمبر!E412+'اكتوبر '!E412+سبتمبر!E412+اغسطس!E412+يوليو!E412+يونيو!E412+مايو!E412+ابريل!E412+مارس!E412+فبراير!E412+يناير!E412)</f>
        <v>0</v>
      </c>
      <c r="F412" s="11">
        <f t="shared" si="7"/>
        <v>0</v>
      </c>
    </row>
    <row r="413" spans="2:16" s="5" customFormat="1" thickTop="1" thickBot="1" x14ac:dyDescent="0.25">
      <c r="B413" s="6">
        <v>8</v>
      </c>
      <c r="C413" s="6" t="s">
        <v>26</v>
      </c>
      <c r="D413" s="6" t="s">
        <v>3</v>
      </c>
      <c r="E413" s="61">
        <f>SUM(ديسمبر!E413+نوفمبر!E413+'اكتوبر '!E413+سبتمبر!E413+اغسطس!E413+يوليو!E413+يونيو!E413+مايو!E413+ابريل!E413+مارس!E413+فبراير!E413+يناير!E413)</f>
        <v>0</v>
      </c>
      <c r="F413" s="11">
        <f t="shared" si="7"/>
        <v>0</v>
      </c>
    </row>
    <row r="414" spans="2:16" s="5" customFormat="1" ht="17.25" customHeight="1" thickTop="1" thickBot="1" x14ac:dyDescent="0.25">
      <c r="B414" s="74" t="s">
        <v>80</v>
      </c>
      <c r="C414" s="75"/>
      <c r="D414" s="76"/>
      <c r="E414" s="42">
        <f>SUM(E407:E413)</f>
        <v>0</v>
      </c>
      <c r="F414" s="43">
        <f>SUM(F407:F413)</f>
        <v>0</v>
      </c>
      <c r="G414" s="4"/>
    </row>
    <row r="415" spans="2:16" s="5" customFormat="1" thickTop="1" thickBot="1" x14ac:dyDescent="0.25">
      <c r="F415" s="23"/>
    </row>
    <row r="416" spans="2:16" s="5" customFormat="1" thickTop="1" thickBot="1" x14ac:dyDescent="0.25">
      <c r="B416" s="47" t="s">
        <v>0</v>
      </c>
      <c r="C416" s="77" t="s">
        <v>81</v>
      </c>
      <c r="D416" s="78"/>
      <c r="E416" s="78"/>
      <c r="F416" s="78"/>
      <c r="G416" s="79"/>
      <c r="H416" s="10"/>
      <c r="I416" s="7"/>
      <c r="J416" s="7"/>
      <c r="K416" s="7"/>
      <c r="L416" s="70"/>
      <c r="M416" s="70"/>
      <c r="N416" s="70"/>
      <c r="O416" s="70"/>
      <c r="P416" s="70"/>
    </row>
    <row r="417" spans="2:16" s="5" customFormat="1" thickTop="1" thickBot="1" x14ac:dyDescent="0.25">
      <c r="B417" s="6">
        <v>1</v>
      </c>
      <c r="C417" s="67" t="str">
        <f>CONCATENATE(يناير!C417,فبراير!C417,مارس!C417,ابريل!C417,مايو!C417,يونيو!C417,يوليو!C417,اغسطس!C417,سبتمبر!C417,نوفمبر!C417,'اكتوبر '!C417:G417,ديسمبر!C417)</f>
        <v/>
      </c>
      <c r="D417" s="68"/>
      <c r="E417" s="68"/>
      <c r="F417" s="68"/>
      <c r="G417" s="69"/>
      <c r="H417" s="7"/>
      <c r="I417" s="7"/>
      <c r="J417" s="7"/>
      <c r="K417" s="7"/>
      <c r="L417" s="70"/>
      <c r="M417" s="70"/>
      <c r="N417" s="70"/>
      <c r="O417" s="70"/>
      <c r="P417" s="70"/>
    </row>
    <row r="418" spans="2:16" s="5" customFormat="1" thickTop="1" thickBot="1" x14ac:dyDescent="0.25">
      <c r="B418" s="6">
        <v>2</v>
      </c>
      <c r="C418" s="67" t="str">
        <f>CONCATENATE(يناير!C418,فبراير!C418,مارس!C418,ابريل!C418,مايو!C418,يونيو!C418,يوليو!C418,اغسطس!C418,سبتمبر!C418,نوفمبر!C418,'اكتوبر '!C418:G418,ديسمبر!C418)</f>
        <v/>
      </c>
      <c r="D418" s="68"/>
      <c r="E418" s="68"/>
      <c r="F418" s="68"/>
      <c r="G418" s="69"/>
      <c r="H418" s="7"/>
      <c r="I418" s="7"/>
      <c r="J418" s="7"/>
      <c r="K418" s="7"/>
      <c r="L418" s="70"/>
      <c r="M418" s="70"/>
      <c r="N418" s="70"/>
      <c r="O418" s="70"/>
      <c r="P418" s="70"/>
    </row>
    <row r="419" spans="2:16" s="5" customFormat="1" thickTop="1" thickBot="1" x14ac:dyDescent="0.25">
      <c r="B419" s="6">
        <v>3</v>
      </c>
      <c r="C419" s="67" t="str">
        <f>CONCATENATE(يناير!C419,فبراير!C419,مارس!C419,ابريل!C419,مايو!C419,يونيو!C419,يوليو!C419,اغسطس!C419,سبتمبر!C419,نوفمبر!C419,'اكتوبر '!C419:G419,ديسمبر!C419)</f>
        <v/>
      </c>
      <c r="D419" s="68"/>
      <c r="E419" s="68"/>
      <c r="F419" s="68"/>
      <c r="G419" s="69"/>
      <c r="H419" s="7"/>
      <c r="I419" s="7"/>
      <c r="J419" s="7"/>
      <c r="K419" s="7"/>
      <c r="L419" s="70"/>
      <c r="M419" s="70"/>
      <c r="N419" s="70"/>
      <c r="O419" s="70"/>
      <c r="P419" s="70"/>
    </row>
    <row r="420" spans="2:16" s="5" customFormat="1" thickTop="1" thickBot="1" x14ac:dyDescent="0.25">
      <c r="B420" s="6">
        <v>4</v>
      </c>
      <c r="C420" s="67" t="str">
        <f>CONCATENATE(يناير!C420,فبراير!C420,مارس!C420,ابريل!C420,مايو!C420,يونيو!C420,يوليو!C420,اغسطس!C420,سبتمبر!C420,نوفمبر!C420,'اكتوبر '!C420:G420,ديسمبر!C420)</f>
        <v/>
      </c>
      <c r="D420" s="68"/>
      <c r="E420" s="68"/>
      <c r="F420" s="68"/>
      <c r="G420" s="69"/>
      <c r="H420" s="7"/>
      <c r="I420" s="7"/>
      <c r="J420" s="7"/>
      <c r="K420" s="7"/>
      <c r="L420" s="70"/>
      <c r="M420" s="70"/>
      <c r="N420" s="70"/>
      <c r="O420" s="70"/>
      <c r="P420" s="70"/>
    </row>
    <row r="421" spans="2:16" s="5" customFormat="1" thickTop="1" thickBot="1" x14ac:dyDescent="0.25">
      <c r="B421" s="6">
        <v>5</v>
      </c>
      <c r="C421" s="67" t="str">
        <f>CONCATENATE(يناير!C421,فبراير!C421,مارس!C421,ابريل!C421,مايو!C421,يونيو!C421,يوليو!C421,اغسطس!C421,سبتمبر!C421,نوفمبر!C421,'اكتوبر '!C421:G421,ديسمبر!C421)</f>
        <v/>
      </c>
      <c r="D421" s="68"/>
      <c r="E421" s="68"/>
      <c r="F421" s="68"/>
      <c r="G421" s="69"/>
      <c r="H421" s="7"/>
      <c r="I421" s="7"/>
      <c r="J421" s="7"/>
      <c r="K421" s="7"/>
      <c r="L421" s="70"/>
      <c r="M421" s="70"/>
      <c r="N421" s="70"/>
      <c r="O421" s="70"/>
      <c r="P421" s="70"/>
    </row>
    <row r="422" spans="2:16" s="5" customFormat="1" thickTop="1" thickBot="1" x14ac:dyDescent="0.25">
      <c r="B422" s="6">
        <v>6</v>
      </c>
      <c r="C422" s="67" t="str">
        <f>CONCATENATE(يناير!C422,فبراير!C422,مارس!C422,ابريل!C422,مايو!C422,يونيو!C422,يوليو!C422,اغسطس!C422,سبتمبر!C422,نوفمبر!C422,'اكتوبر '!C422:G422,ديسمبر!C422)</f>
        <v/>
      </c>
      <c r="D422" s="68"/>
      <c r="E422" s="68"/>
      <c r="F422" s="68"/>
      <c r="G422" s="69"/>
      <c r="H422" s="7"/>
      <c r="I422" s="7"/>
      <c r="J422" s="7"/>
      <c r="K422" s="7"/>
      <c r="L422" s="70"/>
      <c r="M422" s="70"/>
      <c r="N422" s="70"/>
      <c r="O422" s="70"/>
      <c r="P422" s="70"/>
    </row>
    <row r="423" spans="2:16" s="5" customFormat="1" thickTop="1" thickBot="1" x14ac:dyDescent="0.25">
      <c r="B423" s="6">
        <v>7</v>
      </c>
      <c r="C423" s="67" t="str">
        <f>CONCATENATE(يناير!C423,فبراير!C423,مارس!C423,ابريل!C423,مايو!C423,يونيو!C423,يوليو!C423,اغسطس!C423,سبتمبر!C423,نوفمبر!C423,'اكتوبر '!C423:G423,ديسمبر!C423)</f>
        <v/>
      </c>
      <c r="D423" s="68"/>
      <c r="E423" s="68"/>
      <c r="F423" s="68"/>
      <c r="G423" s="69"/>
      <c r="H423" s="7"/>
      <c r="I423" s="7"/>
      <c r="J423" s="7"/>
      <c r="K423" s="7"/>
      <c r="L423" s="70"/>
      <c r="M423" s="70"/>
      <c r="N423" s="70"/>
      <c r="O423" s="70"/>
      <c r="P423" s="70"/>
    </row>
    <row r="424" spans="2:16" s="5" customFormat="1" thickTop="1" thickBot="1" x14ac:dyDescent="0.25">
      <c r="B424" s="6">
        <v>8</v>
      </c>
      <c r="C424" s="67" t="str">
        <f>CONCATENATE(يناير!C424,فبراير!C424,مارس!C424,ابريل!C424,مايو!C424,يونيو!C424,يوليو!C424,اغسطس!C424,سبتمبر!C424,نوفمبر!C424,'اكتوبر '!C424:G424,ديسمبر!C424)</f>
        <v/>
      </c>
      <c r="D424" s="68"/>
      <c r="E424" s="68"/>
      <c r="F424" s="68"/>
      <c r="G424" s="69"/>
      <c r="H424" s="7"/>
      <c r="I424" s="7"/>
      <c r="J424" s="7"/>
      <c r="K424" s="7"/>
      <c r="L424" s="70"/>
      <c r="M424" s="70"/>
      <c r="N424" s="70"/>
      <c r="O424" s="70"/>
      <c r="P424" s="70"/>
    </row>
    <row r="425" spans="2:16" s="5" customFormat="1" ht="13.5" thickTop="1" x14ac:dyDescent="0.2">
      <c r="B425" s="7"/>
      <c r="C425" s="54"/>
      <c r="D425" s="54"/>
      <c r="E425" s="54"/>
      <c r="F425" s="54"/>
      <c r="G425" s="54"/>
      <c r="H425" s="7"/>
      <c r="I425" s="7"/>
      <c r="J425" s="7"/>
      <c r="K425" s="7"/>
      <c r="L425" s="7"/>
      <c r="M425" s="7"/>
      <c r="N425" s="7"/>
      <c r="O425" s="7"/>
      <c r="P425" s="7"/>
    </row>
    <row r="426" spans="2:16" s="5" customFormat="1" ht="12.75" x14ac:dyDescent="0.2">
      <c r="B426" s="7"/>
      <c r="C426" s="54"/>
      <c r="D426" s="54"/>
      <c r="E426" s="54"/>
      <c r="F426" s="54"/>
      <c r="G426" s="54"/>
      <c r="H426" s="7"/>
      <c r="I426" s="7"/>
      <c r="J426" s="7"/>
      <c r="K426" s="7"/>
      <c r="L426" s="7"/>
      <c r="M426" s="7"/>
      <c r="N426" s="7"/>
      <c r="O426" s="7"/>
      <c r="P426" s="7"/>
    </row>
    <row r="427" spans="2:16" s="5" customFormat="1" ht="13.5" thickBot="1" x14ac:dyDescent="0.25">
      <c r="B427" s="7"/>
      <c r="C427" s="54"/>
      <c r="D427" s="54"/>
      <c r="E427" s="54"/>
      <c r="F427" s="54"/>
      <c r="G427" s="54"/>
      <c r="H427" s="7"/>
      <c r="I427" s="7"/>
      <c r="J427" s="7"/>
      <c r="K427" s="7"/>
      <c r="L427" s="7"/>
      <c r="M427" s="7"/>
      <c r="N427" s="7"/>
      <c r="O427" s="7"/>
      <c r="P427" s="7"/>
    </row>
    <row r="428" spans="2:16" s="5" customFormat="1" ht="13.5" thickTop="1" x14ac:dyDescent="0.2">
      <c r="B428" s="102" t="s">
        <v>130</v>
      </c>
      <c r="C428" s="103"/>
      <c r="D428" s="54"/>
      <c r="E428" s="54"/>
      <c r="F428" s="54"/>
      <c r="G428" s="54"/>
      <c r="H428" s="7"/>
      <c r="I428" s="7"/>
      <c r="J428" s="7"/>
      <c r="K428" s="7"/>
      <c r="L428" s="7"/>
      <c r="M428" s="7"/>
      <c r="N428" s="7"/>
      <c r="O428" s="7"/>
      <c r="P428" s="7"/>
    </row>
    <row r="429" spans="2:16" s="5" customFormat="1" ht="13.5" thickBot="1" x14ac:dyDescent="0.25">
      <c r="B429" s="104"/>
      <c r="C429" s="105"/>
      <c r="D429" s="54"/>
      <c r="E429" s="54"/>
      <c r="F429" s="54"/>
      <c r="G429" s="54"/>
      <c r="H429" s="7"/>
      <c r="I429" s="7"/>
      <c r="J429" s="7"/>
      <c r="K429" s="7"/>
      <c r="L429" s="7"/>
      <c r="M429" s="7"/>
      <c r="N429" s="7"/>
      <c r="O429" s="7"/>
      <c r="P429" s="7"/>
    </row>
    <row r="430" spans="2:16" s="5" customFormat="1" ht="17.25" customHeight="1" thickTop="1" thickBot="1" x14ac:dyDescent="0.25">
      <c r="B430" s="7"/>
      <c r="C430" s="7"/>
      <c r="D430" s="7"/>
      <c r="E430" s="7"/>
      <c r="F430" s="7"/>
      <c r="G430" s="7"/>
      <c r="H430" s="8"/>
      <c r="I430" s="8"/>
      <c r="J430" s="8"/>
      <c r="K430" s="8"/>
      <c r="L430" s="8"/>
      <c r="M430" s="8"/>
      <c r="N430" s="8"/>
      <c r="O430" s="8"/>
      <c r="P430" s="8"/>
    </row>
    <row r="431" spans="2:16" s="5" customFormat="1" thickTop="1" thickBot="1" x14ac:dyDescent="0.25">
      <c r="B431" s="51" t="s">
        <v>0</v>
      </c>
      <c r="C431" s="52" t="s">
        <v>64</v>
      </c>
      <c r="D431" s="52" t="s">
        <v>65</v>
      </c>
      <c r="E431" s="52" t="s">
        <v>66</v>
      </c>
      <c r="F431" s="52" t="s">
        <v>67</v>
      </c>
      <c r="G431" s="52" t="s">
        <v>68</v>
      </c>
      <c r="H431" s="52" t="s">
        <v>69</v>
      </c>
      <c r="I431" s="8"/>
      <c r="J431" s="8"/>
      <c r="K431" s="8"/>
      <c r="L431" s="27"/>
      <c r="M431" s="27"/>
      <c r="N431" s="27"/>
      <c r="O431" s="27"/>
    </row>
    <row r="432" spans="2:16" s="5" customFormat="1" thickTop="1" thickBot="1" x14ac:dyDescent="0.25">
      <c r="B432" s="6">
        <v>1</v>
      </c>
      <c r="C432" s="59"/>
      <c r="D432" s="59"/>
      <c r="E432" s="60"/>
      <c r="F432" s="59"/>
      <c r="G432" s="59"/>
      <c r="H432" s="59"/>
      <c r="I432" s="8"/>
      <c r="J432" s="8"/>
      <c r="K432" s="8"/>
      <c r="L432" s="27"/>
      <c r="M432" s="27"/>
      <c r="N432" s="27"/>
      <c r="O432" s="27"/>
    </row>
    <row r="433" spans="2:15" s="5" customFormat="1" thickTop="1" thickBot="1" x14ac:dyDescent="0.25">
      <c r="B433" s="6">
        <v>2</v>
      </c>
      <c r="C433" s="59"/>
      <c r="D433" s="59"/>
      <c r="E433" s="60"/>
      <c r="F433" s="59"/>
      <c r="G433" s="59"/>
      <c r="H433" s="59"/>
      <c r="I433" s="8"/>
      <c r="J433" s="8"/>
      <c r="K433" s="8"/>
      <c r="L433" s="27"/>
      <c r="M433" s="27"/>
      <c r="N433" s="27"/>
      <c r="O433" s="27"/>
    </row>
    <row r="434" spans="2:15" s="5" customFormat="1" thickTop="1" thickBot="1" x14ac:dyDescent="0.25">
      <c r="B434" s="6">
        <v>3</v>
      </c>
      <c r="C434" s="59"/>
      <c r="D434" s="59"/>
      <c r="E434" s="60"/>
      <c r="F434" s="59"/>
      <c r="G434" s="59"/>
      <c r="H434" s="59"/>
      <c r="I434" s="8"/>
      <c r="J434" s="8"/>
      <c r="K434" s="8"/>
      <c r="L434" s="27"/>
      <c r="M434" s="27"/>
      <c r="N434" s="27"/>
      <c r="O434" s="27"/>
    </row>
    <row r="435" spans="2:15" s="5" customFormat="1" thickTop="1" thickBot="1" x14ac:dyDescent="0.25">
      <c r="B435" s="6">
        <v>4</v>
      </c>
      <c r="C435" s="59"/>
      <c r="D435" s="59"/>
      <c r="E435" s="60"/>
      <c r="F435" s="59"/>
      <c r="G435" s="59"/>
      <c r="H435" s="59"/>
      <c r="I435" s="8"/>
      <c r="J435" s="8"/>
      <c r="K435" s="8"/>
      <c r="L435" s="27"/>
      <c r="M435" s="27"/>
      <c r="N435" s="27"/>
      <c r="O435" s="27"/>
    </row>
    <row r="436" spans="2:15" s="5" customFormat="1" thickTop="1" thickBot="1" x14ac:dyDescent="0.25">
      <c r="B436" s="6">
        <v>5</v>
      </c>
      <c r="C436" s="59"/>
      <c r="D436" s="59"/>
      <c r="E436" s="60"/>
      <c r="F436" s="59"/>
      <c r="G436" s="59"/>
      <c r="H436" s="59"/>
      <c r="I436" s="8"/>
      <c r="J436" s="8"/>
      <c r="K436" s="8"/>
      <c r="L436" s="27"/>
      <c r="M436" s="27"/>
      <c r="N436" s="27"/>
      <c r="O436" s="27"/>
    </row>
    <row r="437" spans="2:15" s="5" customFormat="1" thickTop="1" thickBot="1" x14ac:dyDescent="0.25">
      <c r="B437" s="6">
        <v>6</v>
      </c>
      <c r="C437" s="59"/>
      <c r="D437" s="59"/>
      <c r="E437" s="60"/>
      <c r="F437" s="59"/>
      <c r="G437" s="59"/>
      <c r="H437" s="59"/>
      <c r="I437" s="8"/>
      <c r="J437" s="8"/>
      <c r="K437" s="8"/>
      <c r="L437" s="27"/>
      <c r="M437" s="27"/>
      <c r="N437" s="27"/>
      <c r="O437" s="27"/>
    </row>
    <row r="438" spans="2:15" s="5" customFormat="1" thickTop="1" thickBot="1" x14ac:dyDescent="0.25">
      <c r="B438" s="6">
        <v>7</v>
      </c>
      <c r="C438" s="59"/>
      <c r="D438" s="59"/>
      <c r="E438" s="60"/>
      <c r="F438" s="59"/>
      <c r="G438" s="59"/>
      <c r="H438" s="59"/>
      <c r="I438" s="8"/>
      <c r="J438" s="8"/>
      <c r="K438" s="8"/>
      <c r="L438" s="27"/>
      <c r="M438" s="27"/>
      <c r="N438" s="27"/>
      <c r="O438" s="27"/>
    </row>
    <row r="439" spans="2:15" s="5" customFormat="1" thickTop="1" thickBot="1" x14ac:dyDescent="0.25">
      <c r="B439" s="6">
        <v>8</v>
      </c>
      <c r="C439" s="59"/>
      <c r="D439" s="59"/>
      <c r="E439" s="60"/>
      <c r="F439" s="59"/>
      <c r="G439" s="59"/>
      <c r="H439" s="59"/>
      <c r="I439" s="8"/>
      <c r="J439" s="8"/>
      <c r="K439" s="8"/>
      <c r="L439" s="27"/>
      <c r="M439" s="27"/>
      <c r="N439" s="27"/>
      <c r="O439" s="27"/>
    </row>
    <row r="440" spans="2:15" s="5" customFormat="1" thickTop="1" thickBot="1" x14ac:dyDescent="0.25">
      <c r="B440" s="6">
        <v>9</v>
      </c>
      <c r="C440" s="59"/>
      <c r="D440" s="59"/>
      <c r="E440" s="60"/>
      <c r="F440" s="59"/>
      <c r="G440" s="59"/>
      <c r="H440" s="59"/>
      <c r="I440" s="8"/>
      <c r="J440" s="8"/>
      <c r="K440" s="8"/>
      <c r="L440" s="27"/>
      <c r="M440" s="27"/>
      <c r="N440" s="27"/>
      <c r="O440" s="27"/>
    </row>
    <row r="441" spans="2:15" s="5" customFormat="1" thickTop="1" thickBot="1" x14ac:dyDescent="0.25">
      <c r="B441" s="6">
        <v>10</v>
      </c>
      <c r="C441" s="59"/>
      <c r="D441" s="59"/>
      <c r="E441" s="60"/>
      <c r="F441" s="59"/>
      <c r="G441" s="59"/>
      <c r="H441" s="59"/>
      <c r="I441" s="8"/>
      <c r="J441" s="8"/>
      <c r="K441" s="8"/>
      <c r="L441" s="27"/>
      <c r="M441" s="27"/>
      <c r="N441" s="27"/>
      <c r="O441" s="27"/>
    </row>
    <row r="442" spans="2:15" s="5" customFormat="1" thickTop="1" thickBot="1" x14ac:dyDescent="0.25">
      <c r="B442" s="7"/>
      <c r="C442" s="7"/>
      <c r="D442" s="7"/>
      <c r="E442" s="7"/>
      <c r="F442" s="7"/>
      <c r="G442" s="7"/>
      <c r="H442" s="7"/>
      <c r="I442" s="8"/>
      <c r="J442" s="8"/>
      <c r="K442" s="8"/>
      <c r="L442" s="7"/>
      <c r="M442" s="7"/>
      <c r="N442" s="7"/>
      <c r="O442" s="7"/>
    </row>
    <row r="443" spans="2:15" s="5" customFormat="1" ht="13.5" thickTop="1" x14ac:dyDescent="0.2">
      <c r="B443" s="102" t="s">
        <v>152</v>
      </c>
      <c r="C443" s="103"/>
      <c r="D443" s="7"/>
      <c r="E443" s="7"/>
      <c r="F443" s="7"/>
      <c r="G443" s="7"/>
      <c r="H443" s="7"/>
      <c r="I443" s="8"/>
      <c r="J443" s="8"/>
      <c r="K443" s="8"/>
      <c r="L443" s="7"/>
      <c r="M443" s="7"/>
      <c r="N443" s="7"/>
      <c r="O443" s="7"/>
    </row>
    <row r="444" spans="2:15" s="5" customFormat="1" ht="13.5" thickBot="1" x14ac:dyDescent="0.25">
      <c r="B444" s="104"/>
      <c r="C444" s="105"/>
      <c r="D444" s="7"/>
      <c r="E444" s="7"/>
      <c r="F444" s="7"/>
      <c r="G444" s="7"/>
      <c r="H444" s="7"/>
      <c r="I444" s="8"/>
      <c r="J444" s="8"/>
      <c r="K444" s="8"/>
      <c r="L444" s="7"/>
      <c r="M444" s="7"/>
      <c r="N444" s="7"/>
      <c r="O444" s="7"/>
    </row>
    <row r="445" spans="2:15" s="5" customFormat="1" thickTop="1" thickBot="1" x14ac:dyDescent="0.25">
      <c r="B445" s="33"/>
      <c r="C445" s="34"/>
      <c r="D445" s="7"/>
      <c r="E445" s="7"/>
      <c r="F445" s="7"/>
      <c r="G445" s="7"/>
      <c r="H445" s="7"/>
      <c r="I445" s="8"/>
      <c r="J445" s="8"/>
      <c r="K445" s="8"/>
      <c r="L445" s="7"/>
      <c r="M445" s="7"/>
      <c r="N445" s="7"/>
      <c r="O445" s="7"/>
    </row>
    <row r="446" spans="2:15" s="5" customFormat="1" thickTop="1" thickBot="1" x14ac:dyDescent="0.25">
      <c r="B446" s="51" t="s">
        <v>0</v>
      </c>
      <c r="C446" s="52" t="s">
        <v>70</v>
      </c>
      <c r="D446" s="52" t="s">
        <v>65</v>
      </c>
      <c r="E446" s="52" t="s">
        <v>66</v>
      </c>
      <c r="F446" s="52" t="s">
        <v>120</v>
      </c>
      <c r="G446" s="52" t="s">
        <v>68</v>
      </c>
      <c r="H446" s="52" t="s">
        <v>69</v>
      </c>
      <c r="I446" s="8"/>
      <c r="J446" s="8"/>
      <c r="K446" s="8"/>
      <c r="L446" s="27"/>
      <c r="M446" s="27"/>
      <c r="N446" s="27"/>
      <c r="O446" s="27"/>
    </row>
    <row r="447" spans="2:15" s="5" customFormat="1" thickTop="1" thickBot="1" x14ac:dyDescent="0.25">
      <c r="B447" s="6">
        <v>1</v>
      </c>
      <c r="C447" s="59"/>
      <c r="D447" s="59"/>
      <c r="E447" s="60"/>
      <c r="F447" s="59"/>
      <c r="G447" s="59"/>
      <c r="H447" s="59"/>
      <c r="I447" s="8"/>
      <c r="J447" s="8"/>
      <c r="K447" s="8"/>
      <c r="L447" s="27"/>
      <c r="M447" s="27"/>
      <c r="N447" s="27"/>
      <c r="O447" s="27"/>
    </row>
    <row r="448" spans="2:15" s="5" customFormat="1" thickTop="1" thickBot="1" x14ac:dyDescent="0.25">
      <c r="B448" s="6">
        <v>2</v>
      </c>
      <c r="C448" s="59"/>
      <c r="D448" s="59"/>
      <c r="E448" s="60"/>
      <c r="F448" s="59"/>
      <c r="G448" s="59"/>
      <c r="H448" s="59"/>
      <c r="I448" s="8"/>
      <c r="J448" s="8"/>
      <c r="K448" s="8"/>
      <c r="L448" s="27"/>
      <c r="M448" s="27"/>
      <c r="N448" s="27"/>
      <c r="O448" s="27"/>
    </row>
    <row r="449" spans="2:15" s="5" customFormat="1" thickTop="1" thickBot="1" x14ac:dyDescent="0.25">
      <c r="B449" s="6">
        <v>3</v>
      </c>
      <c r="C449" s="59"/>
      <c r="D449" s="59"/>
      <c r="E449" s="60"/>
      <c r="F449" s="59"/>
      <c r="G449" s="59"/>
      <c r="H449" s="59"/>
      <c r="I449" s="8"/>
      <c r="J449" s="8"/>
      <c r="K449" s="8"/>
      <c r="L449" s="27"/>
      <c r="M449" s="27"/>
      <c r="N449" s="27"/>
      <c r="O449" s="27"/>
    </row>
    <row r="450" spans="2:15" s="5" customFormat="1" thickTop="1" thickBot="1" x14ac:dyDescent="0.25">
      <c r="B450" s="6">
        <v>4</v>
      </c>
      <c r="C450" s="59"/>
      <c r="D450" s="59"/>
      <c r="E450" s="60"/>
      <c r="F450" s="59"/>
      <c r="G450" s="59"/>
      <c r="H450" s="59"/>
      <c r="I450" s="8"/>
      <c r="J450" s="8"/>
      <c r="K450" s="8"/>
      <c r="L450" s="27"/>
      <c r="M450" s="27"/>
      <c r="N450" s="27"/>
      <c r="O450" s="27"/>
    </row>
    <row r="451" spans="2:15" s="5" customFormat="1" thickTop="1" thickBot="1" x14ac:dyDescent="0.25">
      <c r="B451" s="6">
        <v>5</v>
      </c>
      <c r="C451" s="59"/>
      <c r="D451" s="59"/>
      <c r="E451" s="60"/>
      <c r="F451" s="59"/>
      <c r="G451" s="59"/>
      <c r="H451" s="59"/>
      <c r="I451" s="8"/>
      <c r="J451" s="8"/>
      <c r="K451" s="8"/>
      <c r="L451" s="27"/>
      <c r="M451" s="27"/>
      <c r="N451" s="27"/>
      <c r="O451" s="27"/>
    </row>
    <row r="452" spans="2:15" s="5" customFormat="1" thickTop="1" thickBot="1" x14ac:dyDescent="0.25">
      <c r="B452" s="6">
        <v>6</v>
      </c>
      <c r="C452" s="59"/>
      <c r="D452" s="59"/>
      <c r="E452" s="60"/>
      <c r="F452" s="59"/>
      <c r="G452" s="59"/>
      <c r="H452" s="59"/>
      <c r="I452" s="8"/>
      <c r="J452" s="8"/>
      <c r="K452" s="8"/>
      <c r="L452" s="27"/>
      <c r="M452" s="27"/>
      <c r="N452" s="27"/>
      <c r="O452" s="27"/>
    </row>
    <row r="453" spans="2:15" s="5" customFormat="1" thickTop="1" thickBot="1" x14ac:dyDescent="0.25">
      <c r="B453" s="6">
        <v>7</v>
      </c>
      <c r="C453" s="59"/>
      <c r="D453" s="59"/>
      <c r="E453" s="60"/>
      <c r="F453" s="59"/>
      <c r="G453" s="59"/>
      <c r="H453" s="59"/>
      <c r="I453" s="8"/>
      <c r="J453" s="8"/>
      <c r="K453" s="8"/>
      <c r="L453" s="27"/>
      <c r="M453" s="27"/>
      <c r="N453" s="27"/>
      <c r="O453" s="27"/>
    </row>
    <row r="454" spans="2:15" s="5" customFormat="1" thickTop="1" thickBot="1" x14ac:dyDescent="0.25">
      <c r="B454" s="6">
        <v>8</v>
      </c>
      <c r="C454" s="59"/>
      <c r="D454" s="59"/>
      <c r="E454" s="60"/>
      <c r="F454" s="59"/>
      <c r="G454" s="59"/>
      <c r="H454" s="59"/>
      <c r="I454" s="8"/>
      <c r="J454" s="8"/>
      <c r="K454" s="8"/>
      <c r="L454" s="27"/>
      <c r="M454" s="27"/>
      <c r="N454" s="27"/>
      <c r="O454" s="27"/>
    </row>
    <row r="455" spans="2:15" s="5" customFormat="1" thickTop="1" thickBot="1" x14ac:dyDescent="0.25">
      <c r="B455" s="6">
        <v>9</v>
      </c>
      <c r="C455" s="59"/>
      <c r="D455" s="59"/>
      <c r="E455" s="60"/>
      <c r="F455" s="59"/>
      <c r="G455" s="59"/>
      <c r="H455" s="59"/>
      <c r="I455" s="8"/>
      <c r="J455" s="8"/>
      <c r="K455" s="8"/>
      <c r="L455" s="27"/>
      <c r="M455" s="27"/>
      <c r="N455" s="27"/>
      <c r="O455" s="27"/>
    </row>
    <row r="456" spans="2:15" s="5" customFormat="1" thickTop="1" thickBot="1" x14ac:dyDescent="0.25">
      <c r="B456" s="6">
        <v>10</v>
      </c>
      <c r="C456" s="59"/>
      <c r="D456" s="59"/>
      <c r="E456" s="60"/>
      <c r="F456" s="59"/>
      <c r="G456" s="59"/>
      <c r="H456" s="59"/>
      <c r="I456" s="8"/>
      <c r="J456" s="8"/>
      <c r="K456" s="8"/>
      <c r="L456" s="27"/>
      <c r="M456" s="27"/>
      <c r="N456" s="27"/>
      <c r="O456" s="27"/>
    </row>
    <row r="457" spans="2:15" s="5" customFormat="1" thickTop="1" thickBot="1" x14ac:dyDescent="0.25">
      <c r="I457" s="8"/>
      <c r="J457" s="8"/>
      <c r="K457" s="8"/>
    </row>
    <row r="458" spans="2:15" s="5" customFormat="1" ht="13.5" thickTop="1" x14ac:dyDescent="0.2">
      <c r="B458" s="102" t="s">
        <v>153</v>
      </c>
      <c r="C458" s="103"/>
      <c r="I458" s="8"/>
      <c r="J458" s="8"/>
      <c r="K458" s="8"/>
    </row>
    <row r="459" spans="2:15" s="5" customFormat="1" ht="13.5" thickBot="1" x14ac:dyDescent="0.25">
      <c r="B459" s="104"/>
      <c r="C459" s="105"/>
      <c r="I459" s="8"/>
      <c r="J459" s="8"/>
      <c r="K459" s="8"/>
    </row>
    <row r="460" spans="2:15" s="5" customFormat="1" thickTop="1" thickBot="1" x14ac:dyDescent="0.25">
      <c r="I460" s="8"/>
      <c r="J460" s="8"/>
      <c r="K460" s="8"/>
    </row>
    <row r="461" spans="2:15" s="5" customFormat="1" thickTop="1" thickBot="1" x14ac:dyDescent="0.25">
      <c r="B461" s="51" t="s">
        <v>0</v>
      </c>
      <c r="C461" s="52" t="s">
        <v>70</v>
      </c>
      <c r="D461" s="52" t="s">
        <v>65</v>
      </c>
      <c r="E461" s="52" t="s">
        <v>75</v>
      </c>
      <c r="F461" s="52" t="s">
        <v>76</v>
      </c>
      <c r="G461" s="52" t="s">
        <v>73</v>
      </c>
      <c r="H461" s="52" t="s">
        <v>74</v>
      </c>
      <c r="I461" s="8"/>
      <c r="J461" s="8"/>
      <c r="K461" s="8"/>
      <c r="L461" s="27"/>
      <c r="M461" s="27"/>
      <c r="N461" s="27"/>
      <c r="O461" s="27"/>
    </row>
    <row r="462" spans="2:15" s="5" customFormat="1" thickTop="1" thickBot="1" x14ac:dyDescent="0.25">
      <c r="B462" s="6">
        <v>1</v>
      </c>
      <c r="C462" s="59"/>
      <c r="D462" s="59"/>
      <c r="E462" s="59"/>
      <c r="F462" s="59"/>
      <c r="G462" s="59"/>
      <c r="H462" s="59"/>
      <c r="I462" s="8"/>
      <c r="J462" s="8"/>
      <c r="K462" s="8"/>
      <c r="L462" s="27"/>
      <c r="M462" s="27"/>
      <c r="N462" s="27"/>
      <c r="O462" s="27"/>
    </row>
    <row r="463" spans="2:15" s="5" customFormat="1" thickTop="1" thickBot="1" x14ac:dyDescent="0.25">
      <c r="B463" s="6">
        <v>2</v>
      </c>
      <c r="C463" s="59"/>
      <c r="D463" s="59"/>
      <c r="E463" s="59"/>
      <c r="F463" s="59"/>
      <c r="G463" s="59"/>
      <c r="H463" s="59"/>
      <c r="I463" s="8"/>
      <c r="J463" s="8"/>
      <c r="K463" s="8"/>
      <c r="L463" s="27"/>
      <c r="M463" s="27"/>
      <c r="N463" s="27"/>
      <c r="O463" s="27"/>
    </row>
    <row r="464" spans="2:15" s="5" customFormat="1" thickTop="1" thickBot="1" x14ac:dyDescent="0.25">
      <c r="B464" s="6">
        <v>3</v>
      </c>
      <c r="C464" s="59"/>
      <c r="D464" s="59"/>
      <c r="E464" s="59"/>
      <c r="F464" s="59"/>
      <c r="G464" s="59"/>
      <c r="H464" s="59"/>
      <c r="I464" s="8"/>
      <c r="J464" s="8"/>
      <c r="K464" s="8"/>
      <c r="L464" s="27"/>
      <c r="M464" s="27"/>
      <c r="N464" s="27"/>
      <c r="O464" s="27"/>
    </row>
    <row r="465" spans="2:15" s="5" customFormat="1" thickTop="1" thickBot="1" x14ac:dyDescent="0.25">
      <c r="B465" s="6">
        <v>4</v>
      </c>
      <c r="C465" s="59"/>
      <c r="D465" s="59"/>
      <c r="E465" s="59"/>
      <c r="F465" s="59"/>
      <c r="G465" s="59"/>
      <c r="H465" s="59"/>
      <c r="I465" s="8"/>
      <c r="J465" s="8"/>
      <c r="K465" s="8"/>
      <c r="L465" s="27"/>
      <c r="M465" s="27"/>
      <c r="N465" s="27"/>
      <c r="O465" s="27"/>
    </row>
    <row r="466" spans="2:15" s="5" customFormat="1" thickTop="1" thickBot="1" x14ac:dyDescent="0.25">
      <c r="B466" s="6">
        <v>5</v>
      </c>
      <c r="C466" s="59"/>
      <c r="D466" s="59"/>
      <c r="E466" s="59"/>
      <c r="F466" s="59"/>
      <c r="G466" s="59"/>
      <c r="H466" s="59"/>
      <c r="I466" s="8"/>
      <c r="J466" s="8"/>
      <c r="K466" s="8"/>
      <c r="L466" s="27"/>
      <c r="M466" s="27"/>
      <c r="N466" s="27"/>
      <c r="O466" s="27"/>
    </row>
    <row r="467" spans="2:15" s="5" customFormat="1" thickTop="1" thickBot="1" x14ac:dyDescent="0.25">
      <c r="B467" s="6">
        <v>6</v>
      </c>
      <c r="C467" s="59"/>
      <c r="D467" s="59"/>
      <c r="E467" s="59"/>
      <c r="F467" s="59"/>
      <c r="G467" s="59"/>
      <c r="H467" s="59"/>
      <c r="I467" s="8"/>
      <c r="J467" s="8"/>
      <c r="K467" s="8"/>
      <c r="L467" s="27"/>
      <c r="M467" s="27"/>
      <c r="N467" s="27"/>
      <c r="O467" s="27"/>
    </row>
    <row r="468" spans="2:15" s="5" customFormat="1" thickTop="1" thickBot="1" x14ac:dyDescent="0.25">
      <c r="B468" s="6">
        <v>7</v>
      </c>
      <c r="C468" s="59"/>
      <c r="D468" s="59"/>
      <c r="E468" s="59"/>
      <c r="F468" s="59"/>
      <c r="G468" s="59"/>
      <c r="H468" s="59"/>
      <c r="I468" s="8"/>
      <c r="J468" s="8"/>
      <c r="K468" s="8"/>
      <c r="L468" s="27"/>
      <c r="M468" s="27"/>
      <c r="N468" s="27"/>
      <c r="O468" s="27"/>
    </row>
    <row r="469" spans="2:15" s="5" customFormat="1" thickTop="1" thickBot="1" x14ac:dyDescent="0.25">
      <c r="B469" s="6">
        <v>8</v>
      </c>
      <c r="C469" s="59"/>
      <c r="D469" s="59"/>
      <c r="E469" s="59"/>
      <c r="F469" s="59"/>
      <c r="G469" s="59"/>
      <c r="H469" s="59"/>
      <c r="I469" s="8"/>
      <c r="J469" s="8"/>
      <c r="K469" s="8"/>
      <c r="L469" s="27"/>
      <c r="M469" s="27"/>
      <c r="N469" s="27"/>
      <c r="O469" s="27"/>
    </row>
    <row r="470" spans="2:15" s="5" customFormat="1" thickTop="1" thickBot="1" x14ac:dyDescent="0.25">
      <c r="B470" s="6">
        <v>9</v>
      </c>
      <c r="C470" s="59"/>
      <c r="D470" s="59"/>
      <c r="E470" s="59"/>
      <c r="F470" s="59"/>
      <c r="G470" s="59"/>
      <c r="H470" s="59"/>
      <c r="I470" s="8"/>
      <c r="J470" s="8"/>
      <c r="K470" s="8"/>
      <c r="L470" s="27"/>
      <c r="M470" s="27"/>
      <c r="N470" s="27"/>
      <c r="O470" s="27"/>
    </row>
    <row r="471" spans="2:15" s="5" customFormat="1" thickTop="1" thickBot="1" x14ac:dyDescent="0.25">
      <c r="B471" s="6">
        <v>10</v>
      </c>
      <c r="C471" s="59"/>
      <c r="D471" s="59"/>
      <c r="E471" s="59"/>
      <c r="F471" s="59"/>
      <c r="G471" s="59"/>
      <c r="H471" s="59"/>
      <c r="I471" s="8"/>
      <c r="J471" s="8"/>
      <c r="K471" s="8"/>
    </row>
    <row r="472" spans="2:15" s="5" customFormat="1" ht="13.5" thickTop="1" x14ac:dyDescent="0.2">
      <c r="I472" s="8"/>
      <c r="J472" s="8"/>
      <c r="K472" s="8"/>
    </row>
  </sheetData>
  <sheetProtection algorithmName="SHA-512" hashValue="dDQvwvCOyTfc+hknX9Fsykc7sTByRMATsg4d0Y98Mr1V7SuOoE61aONszp7Do6wbYAUz4e7R1YerrYVZp9zKZg==" saltValue="ru3EgHn4wh2/R7VSI8o8Hw==" spinCount="100000" sheet="1" objects="1" scenarios="1"/>
  <mergeCells count="339">
    <mergeCell ref="B428:C429"/>
    <mergeCell ref="B443:C444"/>
    <mergeCell ref="B458:C459"/>
    <mergeCell ref="B9:G9"/>
    <mergeCell ref="B10:G10"/>
    <mergeCell ref="B11:G11"/>
    <mergeCell ref="B12:G12"/>
    <mergeCell ref="C31:G31"/>
    <mergeCell ref="C32:G32"/>
    <mergeCell ref="C33:G33"/>
    <mergeCell ref="C34:G34"/>
    <mergeCell ref="C35:G35"/>
    <mergeCell ref="C36:G36"/>
    <mergeCell ref="B13:G13"/>
    <mergeCell ref="B16:C16"/>
    <mergeCell ref="B18:E18"/>
    <mergeCell ref="B27:D27"/>
    <mergeCell ref="C29:G29"/>
    <mergeCell ref="C30:G30"/>
    <mergeCell ref="C58:G58"/>
    <mergeCell ref="C64:G64"/>
    <mergeCell ref="C88:G88"/>
    <mergeCell ref="C94:G94"/>
    <mergeCell ref="C151:G151"/>
    <mergeCell ref="L58:P58"/>
    <mergeCell ref="C59:G59"/>
    <mergeCell ref="L59:P59"/>
    <mergeCell ref="C60:G60"/>
    <mergeCell ref="L60:P60"/>
    <mergeCell ref="B40:E40"/>
    <mergeCell ref="B54:D54"/>
    <mergeCell ref="C56:G56"/>
    <mergeCell ref="L56:P56"/>
    <mergeCell ref="C57:G57"/>
    <mergeCell ref="L57:P57"/>
    <mergeCell ref="L64:P64"/>
    <mergeCell ref="C65:G65"/>
    <mergeCell ref="L65:P65"/>
    <mergeCell ref="C66:G66"/>
    <mergeCell ref="C67:G67"/>
    <mergeCell ref="C61:G61"/>
    <mergeCell ref="L61:P61"/>
    <mergeCell ref="C62:G62"/>
    <mergeCell ref="L62:P62"/>
    <mergeCell ref="C63:G63"/>
    <mergeCell ref="L63:P63"/>
    <mergeCell ref="L88:P88"/>
    <mergeCell ref="C89:G89"/>
    <mergeCell ref="L89:P89"/>
    <mergeCell ref="C90:G90"/>
    <mergeCell ref="L90:P90"/>
    <mergeCell ref="C68:G68"/>
    <mergeCell ref="L68:P68"/>
    <mergeCell ref="B72:E72"/>
    <mergeCell ref="B85:D85"/>
    <mergeCell ref="C87:G87"/>
    <mergeCell ref="L87:P87"/>
    <mergeCell ref="L94:P94"/>
    <mergeCell ref="C95:G95"/>
    <mergeCell ref="L95:P95"/>
    <mergeCell ref="C96:G96"/>
    <mergeCell ref="L96:P96"/>
    <mergeCell ref="C91:G91"/>
    <mergeCell ref="L91:P91"/>
    <mergeCell ref="C92:G92"/>
    <mergeCell ref="L92:P92"/>
    <mergeCell ref="C93:G93"/>
    <mergeCell ref="L93:P93"/>
    <mergeCell ref="L119:P119"/>
    <mergeCell ref="L120:P120"/>
    <mergeCell ref="L121:P121"/>
    <mergeCell ref="C98:G98"/>
    <mergeCell ref="L98:P98"/>
    <mergeCell ref="B102:F102"/>
    <mergeCell ref="B116:D116"/>
    <mergeCell ref="C118:G118"/>
    <mergeCell ref="L118:P118"/>
    <mergeCell ref="C119:G119"/>
    <mergeCell ref="C120:G120"/>
    <mergeCell ref="C121:G121"/>
    <mergeCell ref="L125:P125"/>
    <mergeCell ref="L126:P126"/>
    <mergeCell ref="L130:P130"/>
    <mergeCell ref="L122:P122"/>
    <mergeCell ref="L123:P123"/>
    <mergeCell ref="L124:P124"/>
    <mergeCell ref="C149:G149"/>
    <mergeCell ref="L149:P149"/>
    <mergeCell ref="C150:G150"/>
    <mergeCell ref="L150:P150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L151:P151"/>
    <mergeCell ref="B134:F134"/>
    <mergeCell ref="B145:D145"/>
    <mergeCell ref="C147:G147"/>
    <mergeCell ref="L147:P147"/>
    <mergeCell ref="C148:G148"/>
    <mergeCell ref="L148:P148"/>
    <mergeCell ref="C155:G155"/>
    <mergeCell ref="L155:P155"/>
    <mergeCell ref="C156:G156"/>
    <mergeCell ref="L156:P156"/>
    <mergeCell ref="B160:F160"/>
    <mergeCell ref="B164:F164"/>
    <mergeCell ref="C152:G152"/>
    <mergeCell ref="L152:P152"/>
    <mergeCell ref="C153:G153"/>
    <mergeCell ref="L153:P153"/>
    <mergeCell ref="C154:G154"/>
    <mergeCell ref="L154:P154"/>
    <mergeCell ref="C173:G173"/>
    <mergeCell ref="L173:P173"/>
    <mergeCell ref="C174:G174"/>
    <mergeCell ref="L174:P174"/>
    <mergeCell ref="C175:G175"/>
    <mergeCell ref="L175:P175"/>
    <mergeCell ref="B168:D168"/>
    <mergeCell ref="C170:G170"/>
    <mergeCell ref="L170:P170"/>
    <mergeCell ref="C171:G171"/>
    <mergeCell ref="L171:P171"/>
    <mergeCell ref="C172:G172"/>
    <mergeCell ref="L172:P172"/>
    <mergeCell ref="C198:G198"/>
    <mergeCell ref="L198:P198"/>
    <mergeCell ref="C199:G199"/>
    <mergeCell ref="L199:P199"/>
    <mergeCell ref="C200:G200"/>
    <mergeCell ref="L200:P200"/>
    <mergeCell ref="B179:F179"/>
    <mergeCell ref="B191:D191"/>
    <mergeCell ref="B192:F192"/>
    <mergeCell ref="C196:G196"/>
    <mergeCell ref="L196:P196"/>
    <mergeCell ref="C197:G197"/>
    <mergeCell ref="L197:P197"/>
    <mergeCell ref="C204:G204"/>
    <mergeCell ref="L204:P204"/>
    <mergeCell ref="C205:G205"/>
    <mergeCell ref="L205:P205"/>
    <mergeCell ref="C206:G206"/>
    <mergeCell ref="L206:P206"/>
    <mergeCell ref="C201:G201"/>
    <mergeCell ref="L201:P201"/>
    <mergeCell ref="C202:G202"/>
    <mergeCell ref="L202:P202"/>
    <mergeCell ref="C203:G203"/>
    <mergeCell ref="L203:P203"/>
    <mergeCell ref="B216:F216"/>
    <mergeCell ref="B224:D224"/>
    <mergeCell ref="C226:G226"/>
    <mergeCell ref="L226:P226"/>
    <mergeCell ref="C227:G227"/>
    <mergeCell ref="L227:P227"/>
    <mergeCell ref="C207:G207"/>
    <mergeCell ref="L207:P207"/>
    <mergeCell ref="C208:G208"/>
    <mergeCell ref="C209:G209"/>
    <mergeCell ref="L209:P209"/>
    <mergeCell ref="B213:F213"/>
    <mergeCell ref="C231:G231"/>
    <mergeCell ref="L231:P231"/>
    <mergeCell ref="C232:G232"/>
    <mergeCell ref="L232:P232"/>
    <mergeCell ref="C233:G233"/>
    <mergeCell ref="L233:P233"/>
    <mergeCell ref="C228:G228"/>
    <mergeCell ref="L228:P228"/>
    <mergeCell ref="C229:G229"/>
    <mergeCell ref="L229:P229"/>
    <mergeCell ref="C230:G230"/>
    <mergeCell ref="L230:P230"/>
    <mergeCell ref="C273:G273"/>
    <mergeCell ref="L273:P273"/>
    <mergeCell ref="C274:G274"/>
    <mergeCell ref="L274:P274"/>
    <mergeCell ref="C275:G275"/>
    <mergeCell ref="L275:P275"/>
    <mergeCell ref="C234:G234"/>
    <mergeCell ref="L234:P234"/>
    <mergeCell ref="B238:C238"/>
    <mergeCell ref="B240:E240"/>
    <mergeCell ref="B270:D270"/>
    <mergeCell ref="C272:G272"/>
    <mergeCell ref="L272:P272"/>
    <mergeCell ref="C279:G279"/>
    <mergeCell ref="L279:P279"/>
    <mergeCell ref="C280:G280"/>
    <mergeCell ref="L280:P280"/>
    <mergeCell ref="C281:G281"/>
    <mergeCell ref="L281:P281"/>
    <mergeCell ref="C276:G276"/>
    <mergeCell ref="L276:P276"/>
    <mergeCell ref="C277:G277"/>
    <mergeCell ref="L277:P277"/>
    <mergeCell ref="C278:G278"/>
    <mergeCell ref="L278:P278"/>
    <mergeCell ref="C285:G285"/>
    <mergeCell ref="L285:P285"/>
    <mergeCell ref="C286:G286"/>
    <mergeCell ref="L286:P286"/>
    <mergeCell ref="C287:G287"/>
    <mergeCell ref="L287:P287"/>
    <mergeCell ref="C282:G282"/>
    <mergeCell ref="L282:P282"/>
    <mergeCell ref="C283:G283"/>
    <mergeCell ref="L283:P283"/>
    <mergeCell ref="C284:G284"/>
    <mergeCell ref="L284:P284"/>
    <mergeCell ref="C291:G291"/>
    <mergeCell ref="L291:P291"/>
    <mergeCell ref="C292:G292"/>
    <mergeCell ref="L292:P292"/>
    <mergeCell ref="C293:G293"/>
    <mergeCell ref="L293:P293"/>
    <mergeCell ref="C288:G288"/>
    <mergeCell ref="L288:P288"/>
    <mergeCell ref="C289:G289"/>
    <mergeCell ref="L289:P289"/>
    <mergeCell ref="C290:G290"/>
    <mergeCell ref="L290:P290"/>
    <mergeCell ref="C297:G297"/>
    <mergeCell ref="L297:P297"/>
    <mergeCell ref="C298:G298"/>
    <mergeCell ref="C299:G299"/>
    <mergeCell ref="C300:G300"/>
    <mergeCell ref="C294:G294"/>
    <mergeCell ref="L294:P294"/>
    <mergeCell ref="C295:G295"/>
    <mergeCell ref="L295:P295"/>
    <mergeCell ref="C296:G296"/>
    <mergeCell ref="L296:P296"/>
    <mergeCell ref="C339:G339"/>
    <mergeCell ref="L339:P339"/>
    <mergeCell ref="C340:G340"/>
    <mergeCell ref="L340:P340"/>
    <mergeCell ref="C341:G341"/>
    <mergeCell ref="L341:P341"/>
    <mergeCell ref="B304:F304"/>
    <mergeCell ref="B332:D332"/>
    <mergeCell ref="B333:F333"/>
    <mergeCell ref="C337:G337"/>
    <mergeCell ref="L337:P337"/>
    <mergeCell ref="C338:G338"/>
    <mergeCell ref="L338:P338"/>
    <mergeCell ref="C345:G345"/>
    <mergeCell ref="L345:P345"/>
    <mergeCell ref="C346:G346"/>
    <mergeCell ref="L346:P346"/>
    <mergeCell ref="C347:G347"/>
    <mergeCell ref="L347:P347"/>
    <mergeCell ref="C342:G342"/>
    <mergeCell ref="L342:P342"/>
    <mergeCell ref="C343:G343"/>
    <mergeCell ref="L343:P343"/>
    <mergeCell ref="C344:G344"/>
    <mergeCell ref="L344:P344"/>
    <mergeCell ref="C351:G351"/>
    <mergeCell ref="L351:P351"/>
    <mergeCell ref="C352:G352"/>
    <mergeCell ref="L352:P352"/>
    <mergeCell ref="C353:G353"/>
    <mergeCell ref="L353:P353"/>
    <mergeCell ref="C348:G348"/>
    <mergeCell ref="L348:P348"/>
    <mergeCell ref="C349:G349"/>
    <mergeCell ref="L349:P349"/>
    <mergeCell ref="C350:G350"/>
    <mergeCell ref="L350:P350"/>
    <mergeCell ref="C357:G357"/>
    <mergeCell ref="L357:P357"/>
    <mergeCell ref="C358:G358"/>
    <mergeCell ref="L358:P358"/>
    <mergeCell ref="C359:G359"/>
    <mergeCell ref="L359:P359"/>
    <mergeCell ref="C354:G354"/>
    <mergeCell ref="L354:P354"/>
    <mergeCell ref="C355:G355"/>
    <mergeCell ref="L355:P355"/>
    <mergeCell ref="C356:G356"/>
    <mergeCell ref="L356:P356"/>
    <mergeCell ref="C363:G363"/>
    <mergeCell ref="C364:G364"/>
    <mergeCell ref="C365:G365"/>
    <mergeCell ref="L365:P365"/>
    <mergeCell ref="B369:F369"/>
    <mergeCell ref="B382:D382"/>
    <mergeCell ref="C360:G360"/>
    <mergeCell ref="L360:P360"/>
    <mergeCell ref="C361:G361"/>
    <mergeCell ref="L361:P361"/>
    <mergeCell ref="C362:G362"/>
    <mergeCell ref="L362:P362"/>
    <mergeCell ref="B414:D414"/>
    <mergeCell ref="C416:G416"/>
    <mergeCell ref="C392:G392"/>
    <mergeCell ref="C393:G393"/>
    <mergeCell ref="C394:G394"/>
    <mergeCell ref="C395:G395"/>
    <mergeCell ref="C396:G396"/>
    <mergeCell ref="C397:G397"/>
    <mergeCell ref="B383:F383"/>
    <mergeCell ref="C387:G387"/>
    <mergeCell ref="C388:G388"/>
    <mergeCell ref="C389:G389"/>
    <mergeCell ref="C390:G390"/>
    <mergeCell ref="C391:G391"/>
    <mergeCell ref="D14:G14"/>
    <mergeCell ref="B14:C14"/>
    <mergeCell ref="C97:G97"/>
    <mergeCell ref="C423:G423"/>
    <mergeCell ref="L423:P423"/>
    <mergeCell ref="C424:G424"/>
    <mergeCell ref="L424:P424"/>
    <mergeCell ref="C420:G420"/>
    <mergeCell ref="L420:P420"/>
    <mergeCell ref="C421:G421"/>
    <mergeCell ref="L421:P421"/>
    <mergeCell ref="C422:G422"/>
    <mergeCell ref="L422:P422"/>
    <mergeCell ref="L416:P416"/>
    <mergeCell ref="C417:G417"/>
    <mergeCell ref="L417:P417"/>
    <mergeCell ref="C418:G418"/>
    <mergeCell ref="L418:P418"/>
    <mergeCell ref="C419:G419"/>
    <mergeCell ref="L419:P419"/>
    <mergeCell ref="C398:G398"/>
    <mergeCell ref="C399:G399"/>
    <mergeCell ref="B403:F403"/>
    <mergeCell ref="B406:F406"/>
  </mergeCells>
  <pageMargins left="0.25" right="0.25" top="0.75" bottom="0.75" header="0.3" footer="0.3"/>
  <pageSetup paperSize="9" scale="27" orientation="landscape" r:id="rId1"/>
  <rowBreaks count="3" manualBreakCount="3">
    <brk id="100" max="8" man="1"/>
    <brk id="236" max="8" man="1"/>
    <brk id="367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13</vt:i4>
      </vt:variant>
      <vt:variant>
        <vt:lpstr>النطاقات المسماة</vt:lpstr>
      </vt:variant>
      <vt:variant>
        <vt:i4>13</vt:i4>
      </vt:variant>
    </vt:vector>
  </HeadingPairs>
  <TitlesOfParts>
    <vt:vector size="26" baseType="lpstr">
      <vt:lpstr>يناير</vt:lpstr>
      <vt:lpstr>فبراير</vt:lpstr>
      <vt:lpstr>مارس</vt:lpstr>
      <vt:lpstr>ابريل</vt:lpstr>
      <vt:lpstr>مايو</vt:lpstr>
      <vt:lpstr>يونيو</vt:lpstr>
      <vt:lpstr>يوليو</vt:lpstr>
      <vt:lpstr>اغسطس</vt:lpstr>
      <vt:lpstr>سبتمبر</vt:lpstr>
      <vt:lpstr>اكتوبر </vt:lpstr>
      <vt:lpstr>نوفمبر</vt:lpstr>
      <vt:lpstr>ديسمبر</vt:lpstr>
      <vt:lpstr>التقرير السنوي</vt:lpstr>
      <vt:lpstr>ابريل!Print_Area</vt:lpstr>
      <vt:lpstr>اغسطس!Print_Area</vt:lpstr>
      <vt:lpstr>'اكتوبر '!Print_Area</vt:lpstr>
      <vt:lpstr>'التقرير السنوي'!Print_Area</vt:lpstr>
      <vt:lpstr>ديسمبر!Print_Area</vt:lpstr>
      <vt:lpstr>سبتمبر!Print_Area</vt:lpstr>
      <vt:lpstr>فبراير!Print_Area</vt:lpstr>
      <vt:lpstr>مارس!Print_Area</vt:lpstr>
      <vt:lpstr>مايو!Print_Area</vt:lpstr>
      <vt:lpstr>نوفمبر!Print_Area</vt:lpstr>
      <vt:lpstr>يناير!Print_Area</vt:lpstr>
      <vt:lpstr>يوليو!Print_Area</vt:lpstr>
      <vt:lpstr>يونيو!Print_Area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سالم المقبالي</cp:lastModifiedBy>
  <cp:lastPrinted>2023-02-28T21:26:15Z</cp:lastPrinted>
  <dcterms:created xsi:type="dcterms:W3CDTF">2019-03-02T08:09:25Z</dcterms:created>
  <dcterms:modified xsi:type="dcterms:W3CDTF">2025-07-03T06:42:42Z</dcterms:modified>
</cp:coreProperties>
</file>